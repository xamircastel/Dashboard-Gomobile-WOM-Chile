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GOMOBILE\CH Wom\"/>
    </mc:Choice>
  </mc:AlternateContent>
  <xr:revisionPtr revIDLastSave="0" documentId="13_ncr:1_{4949A548-1EF0-405A-A6D3-6BC1626F7C39}" xr6:coauthVersionLast="47" xr6:coauthVersionMax="47" xr10:uidLastSave="{00000000-0000-0000-0000-000000000000}"/>
  <bookViews>
    <workbookView xWindow="-110" yWindow="-110" windowWidth="19420" windowHeight="10300" xr2:uid="{0217C286-4DA2-4CF4-9473-F6FB2D9EDB75}"/>
  </bookViews>
  <sheets>
    <sheet name="DB" sheetId="1" r:id="rId1"/>
    <sheet name="tablas dinamicas" sheetId="2" r:id="rId2"/>
    <sheet name="Issues" sheetId="3" r:id="rId3"/>
    <sheet name="clubs" sheetId="4" r:id="rId4"/>
    <sheet name="CPs" sheetId="5" r:id="rId5"/>
    <sheet name="Canal" sheetId="7" r:id="rId6"/>
    <sheet name="Fecha" sheetId="9" r:id="rId7"/>
  </sheet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9" i="1" l="1"/>
  <c r="K208" i="1"/>
  <c r="K207" i="1"/>
  <c r="K206" i="1"/>
  <c r="K205" i="1"/>
  <c r="K204" i="1"/>
  <c r="K203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J1001" i="1"/>
  <c r="K1001" i="1" s="1"/>
  <c r="I1001" i="1"/>
  <c r="C1001" i="1"/>
  <c r="B1001" i="1"/>
  <c r="J1000" i="1"/>
  <c r="K1000" i="1" s="1"/>
  <c r="I1000" i="1"/>
  <c r="C1000" i="1"/>
  <c r="B1000" i="1"/>
  <c r="J999" i="1"/>
  <c r="K999" i="1" s="1"/>
  <c r="I999" i="1"/>
  <c r="C999" i="1"/>
  <c r="B999" i="1"/>
  <c r="J998" i="1"/>
  <c r="K998" i="1" s="1"/>
  <c r="I998" i="1"/>
  <c r="C998" i="1"/>
  <c r="B998" i="1"/>
  <c r="J997" i="1"/>
  <c r="K997" i="1" s="1"/>
  <c r="I997" i="1"/>
  <c r="C997" i="1"/>
  <c r="B997" i="1"/>
  <c r="J996" i="1"/>
  <c r="K996" i="1" s="1"/>
  <c r="I996" i="1"/>
  <c r="C996" i="1"/>
  <c r="B996" i="1"/>
  <c r="J995" i="1"/>
  <c r="K995" i="1" s="1"/>
  <c r="I995" i="1"/>
  <c r="C995" i="1"/>
  <c r="B995" i="1"/>
  <c r="J994" i="1"/>
  <c r="K994" i="1" s="1"/>
  <c r="I994" i="1"/>
  <c r="C994" i="1"/>
  <c r="B994" i="1"/>
  <c r="J993" i="1"/>
  <c r="K993" i="1" s="1"/>
  <c r="I993" i="1"/>
  <c r="C993" i="1"/>
  <c r="B993" i="1"/>
  <c r="J992" i="1"/>
  <c r="K992" i="1" s="1"/>
  <c r="I992" i="1"/>
  <c r="C992" i="1"/>
  <c r="B992" i="1"/>
  <c r="J991" i="1"/>
  <c r="K991" i="1" s="1"/>
  <c r="I991" i="1"/>
  <c r="C991" i="1"/>
  <c r="B991" i="1"/>
  <c r="J990" i="1"/>
  <c r="K990" i="1" s="1"/>
  <c r="I990" i="1"/>
  <c r="C990" i="1"/>
  <c r="B990" i="1"/>
  <c r="J989" i="1"/>
  <c r="K989" i="1" s="1"/>
  <c r="I989" i="1"/>
  <c r="C989" i="1"/>
  <c r="B989" i="1"/>
  <c r="J988" i="1"/>
  <c r="K988" i="1" s="1"/>
  <c r="I988" i="1"/>
  <c r="C988" i="1"/>
  <c r="B988" i="1"/>
  <c r="J987" i="1"/>
  <c r="K987" i="1" s="1"/>
  <c r="I987" i="1"/>
  <c r="C987" i="1"/>
  <c r="B987" i="1"/>
  <c r="J986" i="1"/>
  <c r="K986" i="1" s="1"/>
  <c r="I986" i="1"/>
  <c r="C986" i="1"/>
  <c r="B986" i="1"/>
  <c r="J985" i="1"/>
  <c r="K985" i="1" s="1"/>
  <c r="I985" i="1"/>
  <c r="C985" i="1"/>
  <c r="B985" i="1"/>
  <c r="J984" i="1"/>
  <c r="K984" i="1" s="1"/>
  <c r="I984" i="1"/>
  <c r="C984" i="1"/>
  <c r="B984" i="1"/>
  <c r="J983" i="1"/>
  <c r="K983" i="1" s="1"/>
  <c r="I983" i="1"/>
  <c r="C983" i="1"/>
  <c r="B983" i="1"/>
  <c r="J982" i="1"/>
  <c r="K982" i="1" s="1"/>
  <c r="I982" i="1"/>
  <c r="C982" i="1"/>
  <c r="B982" i="1"/>
  <c r="J981" i="1"/>
  <c r="K981" i="1" s="1"/>
  <c r="I981" i="1"/>
  <c r="C981" i="1"/>
  <c r="B981" i="1"/>
  <c r="J980" i="1"/>
  <c r="K980" i="1" s="1"/>
  <c r="I980" i="1"/>
  <c r="C980" i="1"/>
  <c r="B980" i="1"/>
  <c r="J979" i="1"/>
  <c r="K979" i="1" s="1"/>
  <c r="I979" i="1"/>
  <c r="C979" i="1"/>
  <c r="B979" i="1"/>
  <c r="J978" i="1"/>
  <c r="K978" i="1" s="1"/>
  <c r="I978" i="1"/>
  <c r="C978" i="1"/>
  <c r="B978" i="1"/>
  <c r="J977" i="1"/>
  <c r="K977" i="1" s="1"/>
  <c r="I977" i="1"/>
  <c r="C977" i="1"/>
  <c r="B977" i="1"/>
  <c r="J976" i="1"/>
  <c r="K976" i="1" s="1"/>
  <c r="I976" i="1"/>
  <c r="C976" i="1"/>
  <c r="B976" i="1"/>
  <c r="J975" i="1"/>
  <c r="K975" i="1" s="1"/>
  <c r="I975" i="1"/>
  <c r="C975" i="1"/>
  <c r="B975" i="1"/>
  <c r="J974" i="1"/>
  <c r="K974" i="1" s="1"/>
  <c r="I974" i="1"/>
  <c r="C974" i="1"/>
  <c r="B974" i="1"/>
  <c r="J973" i="1"/>
  <c r="K973" i="1" s="1"/>
  <c r="I973" i="1"/>
  <c r="C973" i="1"/>
  <c r="B973" i="1"/>
  <c r="J972" i="1"/>
  <c r="K972" i="1" s="1"/>
  <c r="I972" i="1"/>
  <c r="C972" i="1"/>
  <c r="B972" i="1"/>
  <c r="J971" i="1"/>
  <c r="K971" i="1" s="1"/>
  <c r="I971" i="1"/>
  <c r="C971" i="1"/>
  <c r="B971" i="1"/>
  <c r="J970" i="1"/>
  <c r="K970" i="1" s="1"/>
  <c r="I970" i="1"/>
  <c r="C970" i="1"/>
  <c r="B970" i="1"/>
  <c r="J969" i="1"/>
  <c r="K969" i="1" s="1"/>
  <c r="I969" i="1"/>
  <c r="C969" i="1"/>
  <c r="B969" i="1"/>
  <c r="J968" i="1"/>
  <c r="K968" i="1" s="1"/>
  <c r="I968" i="1"/>
  <c r="C968" i="1"/>
  <c r="B968" i="1"/>
  <c r="J967" i="1"/>
  <c r="K967" i="1" s="1"/>
  <c r="I967" i="1"/>
  <c r="C967" i="1"/>
  <c r="B967" i="1"/>
  <c r="J966" i="1"/>
  <c r="K966" i="1" s="1"/>
  <c r="I966" i="1"/>
  <c r="C966" i="1"/>
  <c r="B966" i="1"/>
  <c r="J965" i="1"/>
  <c r="K965" i="1" s="1"/>
  <c r="I965" i="1"/>
  <c r="C965" i="1"/>
  <c r="B965" i="1"/>
  <c r="J964" i="1"/>
  <c r="K964" i="1" s="1"/>
  <c r="I964" i="1"/>
  <c r="C964" i="1"/>
  <c r="B964" i="1"/>
  <c r="J963" i="1"/>
  <c r="K963" i="1" s="1"/>
  <c r="I963" i="1"/>
  <c r="C963" i="1"/>
  <c r="B963" i="1"/>
  <c r="J962" i="1"/>
  <c r="K962" i="1" s="1"/>
  <c r="I962" i="1"/>
  <c r="C962" i="1"/>
  <c r="B962" i="1"/>
  <c r="J961" i="1"/>
  <c r="K961" i="1" s="1"/>
  <c r="I961" i="1"/>
  <c r="C961" i="1"/>
  <c r="B961" i="1"/>
  <c r="J960" i="1"/>
  <c r="K960" i="1" s="1"/>
  <c r="I960" i="1"/>
  <c r="C960" i="1"/>
  <c r="B960" i="1"/>
  <c r="J959" i="1"/>
  <c r="K959" i="1" s="1"/>
  <c r="I959" i="1"/>
  <c r="C959" i="1"/>
  <c r="B959" i="1"/>
  <c r="J958" i="1"/>
  <c r="K958" i="1" s="1"/>
  <c r="I958" i="1"/>
  <c r="C958" i="1"/>
  <c r="B958" i="1"/>
  <c r="J957" i="1"/>
  <c r="K957" i="1" s="1"/>
  <c r="I957" i="1"/>
  <c r="C957" i="1"/>
  <c r="B957" i="1"/>
  <c r="J956" i="1"/>
  <c r="K956" i="1" s="1"/>
  <c r="I956" i="1"/>
  <c r="C956" i="1"/>
  <c r="B956" i="1"/>
  <c r="J955" i="1"/>
  <c r="K955" i="1" s="1"/>
  <c r="I955" i="1"/>
  <c r="C955" i="1"/>
  <c r="B955" i="1"/>
  <c r="J954" i="1"/>
  <c r="K954" i="1" s="1"/>
  <c r="I954" i="1"/>
  <c r="C954" i="1"/>
  <c r="B954" i="1"/>
  <c r="J953" i="1"/>
  <c r="K953" i="1" s="1"/>
  <c r="I953" i="1"/>
  <c r="C953" i="1"/>
  <c r="B953" i="1"/>
  <c r="J952" i="1"/>
  <c r="K952" i="1" s="1"/>
  <c r="I952" i="1"/>
  <c r="C952" i="1"/>
  <c r="B952" i="1"/>
  <c r="J951" i="1"/>
  <c r="K951" i="1" s="1"/>
  <c r="I951" i="1"/>
  <c r="C951" i="1"/>
  <c r="B951" i="1"/>
  <c r="J950" i="1"/>
  <c r="K950" i="1" s="1"/>
  <c r="I950" i="1"/>
  <c r="C950" i="1"/>
  <c r="B950" i="1"/>
  <c r="J949" i="1"/>
  <c r="K949" i="1" s="1"/>
  <c r="I949" i="1"/>
  <c r="C949" i="1"/>
  <c r="B949" i="1"/>
  <c r="J948" i="1"/>
  <c r="K948" i="1" s="1"/>
  <c r="I948" i="1"/>
  <c r="C948" i="1"/>
  <c r="B948" i="1"/>
  <c r="J947" i="1"/>
  <c r="K947" i="1" s="1"/>
  <c r="I947" i="1"/>
  <c r="C947" i="1"/>
  <c r="B947" i="1"/>
  <c r="J946" i="1"/>
  <c r="K946" i="1" s="1"/>
  <c r="I946" i="1"/>
  <c r="C946" i="1"/>
  <c r="B946" i="1"/>
  <c r="J945" i="1"/>
  <c r="K945" i="1" s="1"/>
  <c r="I945" i="1"/>
  <c r="C945" i="1"/>
  <c r="B945" i="1"/>
  <c r="J944" i="1"/>
  <c r="K944" i="1" s="1"/>
  <c r="I944" i="1"/>
  <c r="C944" i="1"/>
  <c r="B944" i="1"/>
  <c r="J943" i="1"/>
  <c r="K943" i="1" s="1"/>
  <c r="I943" i="1"/>
  <c r="C943" i="1"/>
  <c r="B943" i="1"/>
  <c r="J942" i="1"/>
  <c r="K942" i="1" s="1"/>
  <c r="I942" i="1"/>
  <c r="C942" i="1"/>
  <c r="B942" i="1"/>
  <c r="J941" i="1"/>
  <c r="K941" i="1" s="1"/>
  <c r="I941" i="1"/>
  <c r="C941" i="1"/>
  <c r="B941" i="1"/>
  <c r="J940" i="1"/>
  <c r="K940" i="1" s="1"/>
  <c r="I940" i="1"/>
  <c r="C940" i="1"/>
  <c r="B940" i="1"/>
  <c r="J939" i="1"/>
  <c r="K939" i="1" s="1"/>
  <c r="I939" i="1"/>
  <c r="C939" i="1"/>
  <c r="B939" i="1"/>
  <c r="J938" i="1"/>
  <c r="K938" i="1" s="1"/>
  <c r="I938" i="1"/>
  <c r="C938" i="1"/>
  <c r="B938" i="1"/>
  <c r="J937" i="1"/>
  <c r="K937" i="1" s="1"/>
  <c r="I937" i="1"/>
  <c r="C937" i="1"/>
  <c r="B937" i="1"/>
  <c r="J936" i="1"/>
  <c r="K936" i="1" s="1"/>
  <c r="I936" i="1"/>
  <c r="C936" i="1"/>
  <c r="B936" i="1"/>
  <c r="J935" i="1"/>
  <c r="K935" i="1" s="1"/>
  <c r="I935" i="1"/>
  <c r="C935" i="1"/>
  <c r="B935" i="1"/>
  <c r="J934" i="1"/>
  <c r="K934" i="1" s="1"/>
  <c r="I934" i="1"/>
  <c r="C934" i="1"/>
  <c r="B934" i="1"/>
  <c r="J933" i="1"/>
  <c r="K933" i="1" s="1"/>
  <c r="I933" i="1"/>
  <c r="C933" i="1"/>
  <c r="B933" i="1"/>
  <c r="J932" i="1"/>
  <c r="K932" i="1" s="1"/>
  <c r="I932" i="1"/>
  <c r="C932" i="1"/>
  <c r="B932" i="1"/>
  <c r="J931" i="1"/>
  <c r="K931" i="1" s="1"/>
  <c r="I931" i="1"/>
  <c r="C931" i="1"/>
  <c r="B931" i="1"/>
  <c r="J930" i="1"/>
  <c r="K930" i="1" s="1"/>
  <c r="I930" i="1"/>
  <c r="C930" i="1"/>
  <c r="B930" i="1"/>
  <c r="J929" i="1"/>
  <c r="K929" i="1" s="1"/>
  <c r="I929" i="1"/>
  <c r="C929" i="1"/>
  <c r="B929" i="1"/>
  <c r="J928" i="1"/>
  <c r="K928" i="1" s="1"/>
  <c r="I928" i="1"/>
  <c r="C928" i="1"/>
  <c r="B928" i="1"/>
  <c r="J927" i="1"/>
  <c r="K927" i="1" s="1"/>
  <c r="I927" i="1"/>
  <c r="C927" i="1"/>
  <c r="B927" i="1"/>
  <c r="J926" i="1"/>
  <c r="K926" i="1" s="1"/>
  <c r="I926" i="1"/>
  <c r="C926" i="1"/>
  <c r="B926" i="1"/>
  <c r="J925" i="1"/>
  <c r="K925" i="1" s="1"/>
  <c r="I925" i="1"/>
  <c r="C925" i="1"/>
  <c r="B925" i="1"/>
  <c r="J924" i="1"/>
  <c r="K924" i="1" s="1"/>
  <c r="I924" i="1"/>
  <c r="C924" i="1"/>
  <c r="B924" i="1"/>
  <c r="J923" i="1"/>
  <c r="K923" i="1" s="1"/>
  <c r="I923" i="1"/>
  <c r="C923" i="1"/>
  <c r="B923" i="1"/>
  <c r="J922" i="1"/>
  <c r="K922" i="1" s="1"/>
  <c r="I922" i="1"/>
  <c r="C922" i="1"/>
  <c r="B922" i="1"/>
  <c r="J921" i="1"/>
  <c r="K921" i="1" s="1"/>
  <c r="I921" i="1"/>
  <c r="C921" i="1"/>
  <c r="B921" i="1"/>
  <c r="J920" i="1"/>
  <c r="K920" i="1" s="1"/>
  <c r="I920" i="1"/>
  <c r="C920" i="1"/>
  <c r="B920" i="1"/>
  <c r="J919" i="1"/>
  <c r="K919" i="1" s="1"/>
  <c r="I919" i="1"/>
  <c r="C919" i="1"/>
  <c r="B919" i="1"/>
  <c r="J918" i="1"/>
  <c r="K918" i="1" s="1"/>
  <c r="I918" i="1"/>
  <c r="C918" i="1"/>
  <c r="B918" i="1"/>
  <c r="J917" i="1"/>
  <c r="K917" i="1" s="1"/>
  <c r="I917" i="1"/>
  <c r="C917" i="1"/>
  <c r="B917" i="1"/>
  <c r="J916" i="1"/>
  <c r="K916" i="1" s="1"/>
  <c r="I916" i="1"/>
  <c r="C916" i="1"/>
  <c r="B916" i="1"/>
  <c r="J915" i="1"/>
  <c r="K915" i="1" s="1"/>
  <c r="I915" i="1"/>
  <c r="C915" i="1"/>
  <c r="B915" i="1"/>
  <c r="J914" i="1"/>
  <c r="K914" i="1" s="1"/>
  <c r="I914" i="1"/>
  <c r="C914" i="1"/>
  <c r="B914" i="1"/>
  <c r="J913" i="1"/>
  <c r="K913" i="1" s="1"/>
  <c r="I913" i="1"/>
  <c r="C913" i="1"/>
  <c r="B913" i="1"/>
  <c r="J912" i="1"/>
  <c r="K912" i="1" s="1"/>
  <c r="I912" i="1"/>
  <c r="C912" i="1"/>
  <c r="B912" i="1"/>
  <c r="J911" i="1"/>
  <c r="K911" i="1" s="1"/>
  <c r="I911" i="1"/>
  <c r="C911" i="1"/>
  <c r="B911" i="1"/>
  <c r="J910" i="1"/>
  <c r="K910" i="1" s="1"/>
  <c r="I910" i="1"/>
  <c r="C910" i="1"/>
  <c r="B910" i="1"/>
  <c r="J909" i="1"/>
  <c r="K909" i="1" s="1"/>
  <c r="I909" i="1"/>
  <c r="C909" i="1"/>
  <c r="B909" i="1"/>
  <c r="J908" i="1"/>
  <c r="K908" i="1" s="1"/>
  <c r="I908" i="1"/>
  <c r="C908" i="1"/>
  <c r="B908" i="1"/>
  <c r="J907" i="1"/>
  <c r="K907" i="1" s="1"/>
  <c r="I907" i="1"/>
  <c r="C907" i="1"/>
  <c r="B907" i="1"/>
  <c r="J906" i="1"/>
  <c r="K906" i="1" s="1"/>
  <c r="I906" i="1"/>
  <c r="C906" i="1"/>
  <c r="B906" i="1"/>
  <c r="J905" i="1"/>
  <c r="K905" i="1" s="1"/>
  <c r="I905" i="1"/>
  <c r="C905" i="1"/>
  <c r="B905" i="1"/>
  <c r="J904" i="1"/>
  <c r="K904" i="1" s="1"/>
  <c r="I904" i="1"/>
  <c r="C904" i="1"/>
  <c r="B904" i="1"/>
  <c r="J903" i="1"/>
  <c r="K903" i="1" s="1"/>
  <c r="I903" i="1"/>
  <c r="C903" i="1"/>
  <c r="B903" i="1"/>
  <c r="J902" i="1"/>
  <c r="K902" i="1" s="1"/>
  <c r="I902" i="1"/>
  <c r="C902" i="1"/>
  <c r="B902" i="1"/>
  <c r="J901" i="1"/>
  <c r="K901" i="1" s="1"/>
  <c r="I901" i="1"/>
  <c r="C901" i="1"/>
  <c r="B901" i="1"/>
  <c r="J900" i="1"/>
  <c r="K900" i="1" s="1"/>
  <c r="I900" i="1"/>
  <c r="C900" i="1"/>
  <c r="B900" i="1"/>
  <c r="J899" i="1"/>
  <c r="K899" i="1" s="1"/>
  <c r="I899" i="1"/>
  <c r="C899" i="1"/>
  <c r="B899" i="1"/>
  <c r="J898" i="1"/>
  <c r="K898" i="1" s="1"/>
  <c r="I898" i="1"/>
  <c r="C898" i="1"/>
  <c r="B898" i="1"/>
  <c r="J897" i="1"/>
  <c r="K897" i="1" s="1"/>
  <c r="I897" i="1"/>
  <c r="C897" i="1"/>
  <c r="B897" i="1"/>
  <c r="J896" i="1"/>
  <c r="K896" i="1" s="1"/>
  <c r="I896" i="1"/>
  <c r="C896" i="1"/>
  <c r="B896" i="1"/>
  <c r="J895" i="1"/>
  <c r="K895" i="1" s="1"/>
  <c r="I895" i="1"/>
  <c r="C895" i="1"/>
  <c r="B895" i="1"/>
  <c r="J894" i="1"/>
  <c r="K894" i="1" s="1"/>
  <c r="I894" i="1"/>
  <c r="C894" i="1"/>
  <c r="B894" i="1"/>
  <c r="J893" i="1"/>
  <c r="K893" i="1" s="1"/>
  <c r="I893" i="1"/>
  <c r="C893" i="1"/>
  <c r="B893" i="1"/>
  <c r="J892" i="1"/>
  <c r="K892" i="1" s="1"/>
  <c r="I892" i="1"/>
  <c r="C892" i="1"/>
  <c r="B892" i="1"/>
  <c r="J891" i="1"/>
  <c r="K891" i="1" s="1"/>
  <c r="I891" i="1"/>
  <c r="C891" i="1"/>
  <c r="B891" i="1"/>
  <c r="J890" i="1"/>
  <c r="K890" i="1" s="1"/>
  <c r="I890" i="1"/>
  <c r="C890" i="1"/>
  <c r="B890" i="1"/>
  <c r="J889" i="1"/>
  <c r="K889" i="1" s="1"/>
  <c r="I889" i="1"/>
  <c r="C889" i="1"/>
  <c r="B889" i="1"/>
  <c r="J888" i="1"/>
  <c r="K888" i="1" s="1"/>
  <c r="I888" i="1"/>
  <c r="C888" i="1"/>
  <c r="B888" i="1"/>
  <c r="J887" i="1"/>
  <c r="K887" i="1" s="1"/>
  <c r="I887" i="1"/>
  <c r="C887" i="1"/>
  <c r="B887" i="1"/>
  <c r="J886" i="1"/>
  <c r="K886" i="1" s="1"/>
  <c r="I886" i="1"/>
  <c r="C886" i="1"/>
  <c r="B886" i="1"/>
  <c r="J885" i="1"/>
  <c r="K885" i="1" s="1"/>
  <c r="I885" i="1"/>
  <c r="C885" i="1"/>
  <c r="B885" i="1"/>
  <c r="J884" i="1"/>
  <c r="K884" i="1" s="1"/>
  <c r="I884" i="1"/>
  <c r="C884" i="1"/>
  <c r="B884" i="1"/>
  <c r="J883" i="1"/>
  <c r="K883" i="1" s="1"/>
  <c r="I883" i="1"/>
  <c r="C883" i="1"/>
  <c r="B883" i="1"/>
  <c r="J882" i="1"/>
  <c r="K882" i="1" s="1"/>
  <c r="I882" i="1"/>
  <c r="C882" i="1"/>
  <c r="B882" i="1"/>
  <c r="J881" i="1"/>
  <c r="K881" i="1" s="1"/>
  <c r="I881" i="1"/>
  <c r="C881" i="1"/>
  <c r="B881" i="1"/>
  <c r="J880" i="1"/>
  <c r="K880" i="1" s="1"/>
  <c r="I880" i="1"/>
  <c r="C880" i="1"/>
  <c r="B880" i="1"/>
  <c r="J879" i="1"/>
  <c r="K879" i="1" s="1"/>
  <c r="I879" i="1"/>
  <c r="C879" i="1"/>
  <c r="B879" i="1"/>
  <c r="J878" i="1"/>
  <c r="K878" i="1" s="1"/>
  <c r="I878" i="1"/>
  <c r="C878" i="1"/>
  <c r="B878" i="1"/>
  <c r="J877" i="1"/>
  <c r="K877" i="1" s="1"/>
  <c r="I877" i="1"/>
  <c r="C877" i="1"/>
  <c r="B877" i="1"/>
  <c r="J876" i="1"/>
  <c r="K876" i="1" s="1"/>
  <c r="I876" i="1"/>
  <c r="C876" i="1"/>
  <c r="B876" i="1"/>
  <c r="J875" i="1"/>
  <c r="K875" i="1" s="1"/>
  <c r="I875" i="1"/>
  <c r="C875" i="1"/>
  <c r="B875" i="1"/>
  <c r="J874" i="1"/>
  <c r="K874" i="1" s="1"/>
  <c r="I874" i="1"/>
  <c r="C874" i="1"/>
  <c r="B874" i="1"/>
  <c r="J873" i="1"/>
  <c r="K873" i="1" s="1"/>
  <c r="I873" i="1"/>
  <c r="C873" i="1"/>
  <c r="B873" i="1"/>
  <c r="J872" i="1"/>
  <c r="K872" i="1" s="1"/>
  <c r="I872" i="1"/>
  <c r="C872" i="1"/>
  <c r="B872" i="1"/>
  <c r="J871" i="1"/>
  <c r="K871" i="1" s="1"/>
  <c r="I871" i="1"/>
  <c r="C871" i="1"/>
  <c r="B871" i="1"/>
  <c r="J870" i="1"/>
  <c r="K870" i="1" s="1"/>
  <c r="I870" i="1"/>
  <c r="C870" i="1"/>
  <c r="B870" i="1"/>
  <c r="J869" i="1"/>
  <c r="K869" i="1" s="1"/>
  <c r="I869" i="1"/>
  <c r="C869" i="1"/>
  <c r="B869" i="1"/>
  <c r="J868" i="1"/>
  <c r="K868" i="1" s="1"/>
  <c r="I868" i="1"/>
  <c r="C868" i="1"/>
  <c r="B868" i="1"/>
  <c r="J867" i="1"/>
  <c r="K867" i="1" s="1"/>
  <c r="I867" i="1"/>
  <c r="C867" i="1"/>
  <c r="B867" i="1"/>
  <c r="J866" i="1"/>
  <c r="K866" i="1" s="1"/>
  <c r="I866" i="1"/>
  <c r="C866" i="1"/>
  <c r="B866" i="1"/>
  <c r="J865" i="1"/>
  <c r="K865" i="1" s="1"/>
  <c r="I865" i="1"/>
  <c r="C865" i="1"/>
  <c r="B865" i="1"/>
  <c r="J864" i="1"/>
  <c r="K864" i="1" s="1"/>
  <c r="I864" i="1"/>
  <c r="C864" i="1"/>
  <c r="B864" i="1"/>
  <c r="J863" i="1"/>
  <c r="K863" i="1" s="1"/>
  <c r="I863" i="1"/>
  <c r="C863" i="1"/>
  <c r="B863" i="1"/>
  <c r="J862" i="1"/>
  <c r="K862" i="1" s="1"/>
  <c r="I862" i="1"/>
  <c r="C862" i="1"/>
  <c r="B862" i="1"/>
  <c r="J861" i="1"/>
  <c r="K861" i="1" s="1"/>
  <c r="I861" i="1"/>
  <c r="C861" i="1"/>
  <c r="B861" i="1"/>
  <c r="J860" i="1"/>
  <c r="K860" i="1" s="1"/>
  <c r="I860" i="1"/>
  <c r="C860" i="1"/>
  <c r="B860" i="1"/>
  <c r="J859" i="1"/>
  <c r="K859" i="1" s="1"/>
  <c r="I859" i="1"/>
  <c r="C859" i="1"/>
  <c r="B859" i="1"/>
  <c r="J858" i="1"/>
  <c r="K858" i="1" s="1"/>
  <c r="I858" i="1"/>
  <c r="C858" i="1"/>
  <c r="B858" i="1"/>
  <c r="J857" i="1"/>
  <c r="K857" i="1" s="1"/>
  <c r="I857" i="1"/>
  <c r="C857" i="1"/>
  <c r="B857" i="1"/>
  <c r="J856" i="1"/>
  <c r="K856" i="1" s="1"/>
  <c r="I856" i="1"/>
  <c r="C856" i="1"/>
  <c r="B856" i="1"/>
  <c r="J855" i="1"/>
  <c r="K855" i="1" s="1"/>
  <c r="I855" i="1"/>
  <c r="C855" i="1"/>
  <c r="B855" i="1"/>
  <c r="J854" i="1"/>
  <c r="K854" i="1" s="1"/>
  <c r="I854" i="1"/>
  <c r="C854" i="1"/>
  <c r="B854" i="1"/>
  <c r="J853" i="1"/>
  <c r="K853" i="1" s="1"/>
  <c r="I853" i="1"/>
  <c r="C853" i="1"/>
  <c r="B853" i="1"/>
  <c r="J852" i="1"/>
  <c r="K852" i="1" s="1"/>
  <c r="I852" i="1"/>
  <c r="C852" i="1"/>
  <c r="B852" i="1"/>
  <c r="J851" i="1"/>
  <c r="K851" i="1" s="1"/>
  <c r="I851" i="1"/>
  <c r="C851" i="1"/>
  <c r="B851" i="1"/>
  <c r="J850" i="1"/>
  <c r="K850" i="1" s="1"/>
  <c r="I850" i="1"/>
  <c r="C850" i="1"/>
  <c r="B850" i="1"/>
  <c r="J849" i="1"/>
  <c r="K849" i="1" s="1"/>
  <c r="I849" i="1"/>
  <c r="C849" i="1"/>
  <c r="B849" i="1"/>
  <c r="J848" i="1"/>
  <c r="K848" i="1" s="1"/>
  <c r="I848" i="1"/>
  <c r="C848" i="1"/>
  <c r="B848" i="1"/>
  <c r="J847" i="1"/>
  <c r="K847" i="1" s="1"/>
  <c r="I847" i="1"/>
  <c r="C847" i="1"/>
  <c r="B847" i="1"/>
  <c r="J846" i="1"/>
  <c r="K846" i="1" s="1"/>
  <c r="I846" i="1"/>
  <c r="C846" i="1"/>
  <c r="B846" i="1"/>
  <c r="J845" i="1"/>
  <c r="K845" i="1" s="1"/>
  <c r="I845" i="1"/>
  <c r="C845" i="1"/>
  <c r="B845" i="1"/>
  <c r="J844" i="1"/>
  <c r="K844" i="1" s="1"/>
  <c r="I844" i="1"/>
  <c r="C844" i="1"/>
  <c r="B844" i="1"/>
  <c r="J843" i="1"/>
  <c r="K843" i="1" s="1"/>
  <c r="I843" i="1"/>
  <c r="C843" i="1"/>
  <c r="B843" i="1"/>
  <c r="J842" i="1"/>
  <c r="K842" i="1" s="1"/>
  <c r="I842" i="1"/>
  <c r="C842" i="1"/>
  <c r="B842" i="1"/>
  <c r="J841" i="1"/>
  <c r="K841" i="1" s="1"/>
  <c r="I841" i="1"/>
  <c r="C841" i="1"/>
  <c r="B841" i="1"/>
  <c r="J840" i="1"/>
  <c r="K840" i="1" s="1"/>
  <c r="I840" i="1"/>
  <c r="C840" i="1"/>
  <c r="B840" i="1"/>
  <c r="J839" i="1"/>
  <c r="K839" i="1" s="1"/>
  <c r="I839" i="1"/>
  <c r="C839" i="1"/>
  <c r="B839" i="1"/>
  <c r="J838" i="1"/>
  <c r="K838" i="1" s="1"/>
  <c r="I838" i="1"/>
  <c r="C838" i="1"/>
  <c r="B838" i="1"/>
  <c r="J837" i="1"/>
  <c r="K837" i="1" s="1"/>
  <c r="I837" i="1"/>
  <c r="C837" i="1"/>
  <c r="B837" i="1"/>
  <c r="J836" i="1"/>
  <c r="K836" i="1" s="1"/>
  <c r="I836" i="1"/>
  <c r="C836" i="1"/>
  <c r="B836" i="1"/>
  <c r="J835" i="1"/>
  <c r="K835" i="1" s="1"/>
  <c r="I835" i="1"/>
  <c r="C835" i="1"/>
  <c r="B835" i="1"/>
  <c r="J834" i="1"/>
  <c r="K834" i="1" s="1"/>
  <c r="I834" i="1"/>
  <c r="C834" i="1"/>
  <c r="B834" i="1"/>
  <c r="J833" i="1"/>
  <c r="K833" i="1" s="1"/>
  <c r="I833" i="1"/>
  <c r="C833" i="1"/>
  <c r="B833" i="1"/>
  <c r="J832" i="1"/>
  <c r="K832" i="1" s="1"/>
  <c r="I832" i="1"/>
  <c r="C832" i="1"/>
  <c r="B832" i="1"/>
  <c r="J831" i="1"/>
  <c r="K831" i="1" s="1"/>
  <c r="I831" i="1"/>
  <c r="C831" i="1"/>
  <c r="B831" i="1"/>
  <c r="J830" i="1"/>
  <c r="K830" i="1" s="1"/>
  <c r="I830" i="1"/>
  <c r="C830" i="1"/>
  <c r="B830" i="1"/>
  <c r="J829" i="1"/>
  <c r="K829" i="1" s="1"/>
  <c r="I829" i="1"/>
  <c r="C829" i="1"/>
  <c r="B829" i="1"/>
  <c r="J828" i="1"/>
  <c r="K828" i="1" s="1"/>
  <c r="I828" i="1"/>
  <c r="C828" i="1"/>
  <c r="B828" i="1"/>
  <c r="J827" i="1"/>
  <c r="K827" i="1" s="1"/>
  <c r="I827" i="1"/>
  <c r="C827" i="1"/>
  <c r="B827" i="1"/>
  <c r="J826" i="1"/>
  <c r="K826" i="1" s="1"/>
  <c r="I826" i="1"/>
  <c r="C826" i="1"/>
  <c r="B826" i="1"/>
  <c r="J825" i="1"/>
  <c r="K825" i="1" s="1"/>
  <c r="I825" i="1"/>
  <c r="C825" i="1"/>
  <c r="B825" i="1"/>
  <c r="J824" i="1"/>
  <c r="K824" i="1" s="1"/>
  <c r="I824" i="1"/>
  <c r="C824" i="1"/>
  <c r="B824" i="1"/>
  <c r="J823" i="1"/>
  <c r="K823" i="1" s="1"/>
  <c r="I823" i="1"/>
  <c r="C823" i="1"/>
  <c r="B823" i="1"/>
  <c r="J822" i="1"/>
  <c r="K822" i="1" s="1"/>
  <c r="I822" i="1"/>
  <c r="C822" i="1"/>
  <c r="B822" i="1"/>
  <c r="J821" i="1"/>
  <c r="K821" i="1" s="1"/>
  <c r="I821" i="1"/>
  <c r="C821" i="1"/>
  <c r="B821" i="1"/>
  <c r="J820" i="1"/>
  <c r="K820" i="1" s="1"/>
  <c r="I820" i="1"/>
  <c r="C820" i="1"/>
  <c r="B820" i="1"/>
  <c r="J819" i="1"/>
  <c r="K819" i="1" s="1"/>
  <c r="I819" i="1"/>
  <c r="C819" i="1"/>
  <c r="B819" i="1"/>
  <c r="J818" i="1"/>
  <c r="K818" i="1" s="1"/>
  <c r="I818" i="1"/>
  <c r="C818" i="1"/>
  <c r="B818" i="1"/>
  <c r="J817" i="1"/>
  <c r="K817" i="1" s="1"/>
  <c r="I817" i="1"/>
  <c r="C817" i="1"/>
  <c r="B817" i="1"/>
  <c r="J816" i="1"/>
  <c r="K816" i="1" s="1"/>
  <c r="I816" i="1"/>
  <c r="C816" i="1"/>
  <c r="B816" i="1"/>
  <c r="J815" i="1"/>
  <c r="K815" i="1" s="1"/>
  <c r="I815" i="1"/>
  <c r="C815" i="1"/>
  <c r="B815" i="1"/>
  <c r="J814" i="1"/>
  <c r="K814" i="1" s="1"/>
  <c r="I814" i="1"/>
  <c r="C814" i="1"/>
  <c r="B814" i="1"/>
  <c r="J813" i="1"/>
  <c r="K813" i="1" s="1"/>
  <c r="I813" i="1"/>
  <c r="C813" i="1"/>
  <c r="B813" i="1"/>
  <c r="J812" i="1"/>
  <c r="K812" i="1" s="1"/>
  <c r="I812" i="1"/>
  <c r="C812" i="1"/>
  <c r="B812" i="1"/>
  <c r="J811" i="1"/>
  <c r="K811" i="1" s="1"/>
  <c r="I811" i="1"/>
  <c r="C811" i="1"/>
  <c r="B811" i="1"/>
  <c r="J810" i="1"/>
  <c r="K810" i="1" s="1"/>
  <c r="I810" i="1"/>
  <c r="C810" i="1"/>
  <c r="B810" i="1"/>
  <c r="J809" i="1"/>
  <c r="K809" i="1" s="1"/>
  <c r="I809" i="1"/>
  <c r="C809" i="1"/>
  <c r="B809" i="1"/>
  <c r="J808" i="1"/>
  <c r="K808" i="1" s="1"/>
  <c r="I808" i="1"/>
  <c r="C808" i="1"/>
  <c r="B808" i="1"/>
  <c r="J807" i="1"/>
  <c r="K807" i="1" s="1"/>
  <c r="I807" i="1"/>
  <c r="C807" i="1"/>
  <c r="B807" i="1"/>
  <c r="J806" i="1"/>
  <c r="K806" i="1" s="1"/>
  <c r="I806" i="1"/>
  <c r="C806" i="1"/>
  <c r="B806" i="1"/>
  <c r="J805" i="1"/>
  <c r="K805" i="1" s="1"/>
  <c r="I805" i="1"/>
  <c r="C805" i="1"/>
  <c r="B805" i="1"/>
  <c r="J804" i="1"/>
  <c r="K804" i="1" s="1"/>
  <c r="I804" i="1"/>
  <c r="C804" i="1"/>
  <c r="B804" i="1"/>
  <c r="J803" i="1"/>
  <c r="K803" i="1" s="1"/>
  <c r="I803" i="1"/>
  <c r="C803" i="1"/>
  <c r="B803" i="1"/>
  <c r="J802" i="1"/>
  <c r="K802" i="1" s="1"/>
  <c r="I802" i="1"/>
  <c r="C802" i="1"/>
  <c r="B802" i="1"/>
  <c r="J801" i="1"/>
  <c r="K801" i="1" s="1"/>
  <c r="I801" i="1"/>
  <c r="C801" i="1"/>
  <c r="B801" i="1"/>
  <c r="J800" i="1"/>
  <c r="K800" i="1" s="1"/>
  <c r="I800" i="1"/>
  <c r="C800" i="1"/>
  <c r="B800" i="1"/>
  <c r="J799" i="1"/>
  <c r="K799" i="1" s="1"/>
  <c r="I799" i="1"/>
  <c r="C799" i="1"/>
  <c r="B799" i="1"/>
  <c r="J798" i="1"/>
  <c r="K798" i="1" s="1"/>
  <c r="I798" i="1"/>
  <c r="C798" i="1"/>
  <c r="B798" i="1"/>
  <c r="J797" i="1"/>
  <c r="K797" i="1" s="1"/>
  <c r="I797" i="1"/>
  <c r="C797" i="1"/>
  <c r="B797" i="1"/>
  <c r="J796" i="1"/>
  <c r="K796" i="1" s="1"/>
  <c r="I796" i="1"/>
  <c r="C796" i="1"/>
  <c r="B796" i="1"/>
  <c r="J795" i="1"/>
  <c r="K795" i="1" s="1"/>
  <c r="I795" i="1"/>
  <c r="C795" i="1"/>
  <c r="B795" i="1"/>
  <c r="J794" i="1"/>
  <c r="K794" i="1" s="1"/>
  <c r="I794" i="1"/>
  <c r="C794" i="1"/>
  <c r="B794" i="1"/>
  <c r="J793" i="1"/>
  <c r="K793" i="1" s="1"/>
  <c r="I793" i="1"/>
  <c r="C793" i="1"/>
  <c r="B793" i="1"/>
  <c r="J792" i="1"/>
  <c r="K792" i="1" s="1"/>
  <c r="I792" i="1"/>
  <c r="C792" i="1"/>
  <c r="B792" i="1"/>
  <c r="J791" i="1"/>
  <c r="K791" i="1" s="1"/>
  <c r="I791" i="1"/>
  <c r="C791" i="1"/>
  <c r="B791" i="1"/>
  <c r="J790" i="1"/>
  <c r="K790" i="1" s="1"/>
  <c r="I790" i="1"/>
  <c r="C790" i="1"/>
  <c r="B790" i="1"/>
  <c r="J789" i="1"/>
  <c r="K789" i="1" s="1"/>
  <c r="I789" i="1"/>
  <c r="C789" i="1"/>
  <c r="B789" i="1"/>
  <c r="J788" i="1"/>
  <c r="K788" i="1" s="1"/>
  <c r="I788" i="1"/>
  <c r="C788" i="1"/>
  <c r="B788" i="1"/>
  <c r="J787" i="1"/>
  <c r="K787" i="1" s="1"/>
  <c r="I787" i="1"/>
  <c r="C787" i="1"/>
  <c r="B787" i="1"/>
  <c r="J786" i="1"/>
  <c r="K786" i="1" s="1"/>
  <c r="I786" i="1"/>
  <c r="C786" i="1"/>
  <c r="B786" i="1"/>
  <c r="J785" i="1"/>
  <c r="K785" i="1" s="1"/>
  <c r="I785" i="1"/>
  <c r="C785" i="1"/>
  <c r="B785" i="1"/>
  <c r="J784" i="1"/>
  <c r="K784" i="1" s="1"/>
  <c r="I784" i="1"/>
  <c r="C784" i="1"/>
  <c r="B784" i="1"/>
  <c r="J783" i="1"/>
  <c r="K783" i="1" s="1"/>
  <c r="I783" i="1"/>
  <c r="C783" i="1"/>
  <c r="B783" i="1"/>
  <c r="J782" i="1"/>
  <c r="K782" i="1" s="1"/>
  <c r="I782" i="1"/>
  <c r="C782" i="1"/>
  <c r="B782" i="1"/>
  <c r="J781" i="1"/>
  <c r="K781" i="1" s="1"/>
  <c r="I781" i="1"/>
  <c r="C781" i="1"/>
  <c r="B781" i="1"/>
  <c r="J780" i="1"/>
  <c r="K780" i="1" s="1"/>
  <c r="I780" i="1"/>
  <c r="C780" i="1"/>
  <c r="B780" i="1"/>
  <c r="J779" i="1"/>
  <c r="K779" i="1" s="1"/>
  <c r="I779" i="1"/>
  <c r="C779" i="1"/>
  <c r="B779" i="1"/>
  <c r="J778" i="1"/>
  <c r="K778" i="1" s="1"/>
  <c r="I778" i="1"/>
  <c r="C778" i="1"/>
  <c r="B778" i="1"/>
  <c r="J777" i="1"/>
  <c r="K777" i="1" s="1"/>
  <c r="I777" i="1"/>
  <c r="C777" i="1"/>
  <c r="B777" i="1"/>
  <c r="J776" i="1"/>
  <c r="K776" i="1" s="1"/>
  <c r="I776" i="1"/>
  <c r="C776" i="1"/>
  <c r="B776" i="1"/>
  <c r="J775" i="1"/>
  <c r="K775" i="1" s="1"/>
  <c r="I775" i="1"/>
  <c r="C775" i="1"/>
  <c r="B775" i="1"/>
  <c r="J774" i="1"/>
  <c r="K774" i="1" s="1"/>
  <c r="I774" i="1"/>
  <c r="C774" i="1"/>
  <c r="B774" i="1"/>
  <c r="J773" i="1"/>
  <c r="K773" i="1" s="1"/>
  <c r="I773" i="1"/>
  <c r="C773" i="1"/>
  <c r="B773" i="1"/>
  <c r="J772" i="1"/>
  <c r="K772" i="1" s="1"/>
  <c r="I772" i="1"/>
  <c r="C772" i="1"/>
  <c r="B772" i="1"/>
  <c r="J771" i="1"/>
  <c r="K771" i="1" s="1"/>
  <c r="I771" i="1"/>
  <c r="C771" i="1"/>
  <c r="B771" i="1"/>
  <c r="J770" i="1"/>
  <c r="K770" i="1" s="1"/>
  <c r="I770" i="1"/>
  <c r="C770" i="1"/>
  <c r="B770" i="1"/>
  <c r="J769" i="1"/>
  <c r="K769" i="1" s="1"/>
  <c r="I769" i="1"/>
  <c r="C769" i="1"/>
  <c r="B769" i="1"/>
  <c r="J768" i="1"/>
  <c r="K768" i="1" s="1"/>
  <c r="I768" i="1"/>
  <c r="C768" i="1"/>
  <c r="B768" i="1"/>
  <c r="J767" i="1"/>
  <c r="K767" i="1" s="1"/>
  <c r="I767" i="1"/>
  <c r="C767" i="1"/>
  <c r="B767" i="1"/>
  <c r="J766" i="1"/>
  <c r="K766" i="1" s="1"/>
  <c r="I766" i="1"/>
  <c r="C766" i="1"/>
  <c r="B766" i="1"/>
  <c r="J765" i="1"/>
  <c r="K765" i="1" s="1"/>
  <c r="I765" i="1"/>
  <c r="C765" i="1"/>
  <c r="B765" i="1"/>
  <c r="J764" i="1"/>
  <c r="K764" i="1" s="1"/>
  <c r="I764" i="1"/>
  <c r="C764" i="1"/>
  <c r="B764" i="1"/>
  <c r="J763" i="1"/>
  <c r="K763" i="1" s="1"/>
  <c r="I763" i="1"/>
  <c r="C763" i="1"/>
  <c r="B763" i="1"/>
  <c r="J762" i="1"/>
  <c r="K762" i="1" s="1"/>
  <c r="I762" i="1"/>
  <c r="C762" i="1"/>
  <c r="B762" i="1"/>
  <c r="J761" i="1"/>
  <c r="K761" i="1" s="1"/>
  <c r="I761" i="1"/>
  <c r="C761" i="1"/>
  <c r="B761" i="1"/>
  <c r="J760" i="1"/>
  <c r="K760" i="1" s="1"/>
  <c r="I760" i="1"/>
  <c r="C760" i="1"/>
  <c r="B760" i="1"/>
  <c r="J759" i="1"/>
  <c r="K759" i="1" s="1"/>
  <c r="I759" i="1"/>
  <c r="C759" i="1"/>
  <c r="B759" i="1"/>
  <c r="J758" i="1"/>
  <c r="K758" i="1" s="1"/>
  <c r="I758" i="1"/>
  <c r="C758" i="1"/>
  <c r="B758" i="1"/>
  <c r="J757" i="1"/>
  <c r="K757" i="1" s="1"/>
  <c r="I757" i="1"/>
  <c r="C757" i="1"/>
  <c r="B757" i="1"/>
  <c r="J756" i="1"/>
  <c r="K756" i="1" s="1"/>
  <c r="I756" i="1"/>
  <c r="C756" i="1"/>
  <c r="B756" i="1"/>
  <c r="J755" i="1"/>
  <c r="K755" i="1" s="1"/>
  <c r="I755" i="1"/>
  <c r="C755" i="1"/>
  <c r="B755" i="1"/>
  <c r="J754" i="1"/>
  <c r="K754" i="1" s="1"/>
  <c r="I754" i="1"/>
  <c r="C754" i="1"/>
  <c r="B754" i="1"/>
  <c r="J753" i="1"/>
  <c r="K753" i="1" s="1"/>
  <c r="I753" i="1"/>
  <c r="C753" i="1"/>
  <c r="B753" i="1"/>
  <c r="J752" i="1"/>
  <c r="K752" i="1" s="1"/>
  <c r="I752" i="1"/>
  <c r="C752" i="1"/>
  <c r="B752" i="1"/>
  <c r="J751" i="1"/>
  <c r="K751" i="1" s="1"/>
  <c r="I751" i="1"/>
  <c r="C751" i="1"/>
  <c r="B751" i="1"/>
  <c r="J750" i="1"/>
  <c r="K750" i="1" s="1"/>
  <c r="I750" i="1"/>
  <c r="C750" i="1"/>
  <c r="B750" i="1"/>
  <c r="J749" i="1"/>
  <c r="K749" i="1" s="1"/>
  <c r="I749" i="1"/>
  <c r="C749" i="1"/>
  <c r="B749" i="1"/>
  <c r="J748" i="1"/>
  <c r="K748" i="1" s="1"/>
  <c r="I748" i="1"/>
  <c r="C748" i="1"/>
  <c r="B748" i="1"/>
  <c r="J747" i="1"/>
  <c r="K747" i="1" s="1"/>
  <c r="I747" i="1"/>
  <c r="C747" i="1"/>
  <c r="B747" i="1"/>
  <c r="J746" i="1"/>
  <c r="K746" i="1" s="1"/>
  <c r="I746" i="1"/>
  <c r="C746" i="1"/>
  <c r="B746" i="1"/>
  <c r="J745" i="1"/>
  <c r="K745" i="1" s="1"/>
  <c r="I745" i="1"/>
  <c r="C745" i="1"/>
  <c r="B745" i="1"/>
  <c r="J744" i="1"/>
  <c r="K744" i="1" s="1"/>
  <c r="I744" i="1"/>
  <c r="C744" i="1"/>
  <c r="B744" i="1"/>
  <c r="J743" i="1"/>
  <c r="K743" i="1" s="1"/>
  <c r="I743" i="1"/>
  <c r="C743" i="1"/>
  <c r="B743" i="1"/>
  <c r="J742" i="1"/>
  <c r="K742" i="1" s="1"/>
  <c r="I742" i="1"/>
  <c r="C742" i="1"/>
  <c r="B742" i="1"/>
  <c r="J741" i="1"/>
  <c r="K741" i="1" s="1"/>
  <c r="I741" i="1"/>
  <c r="C741" i="1"/>
  <c r="B741" i="1"/>
  <c r="J740" i="1"/>
  <c r="K740" i="1" s="1"/>
  <c r="I740" i="1"/>
  <c r="C740" i="1"/>
  <c r="B740" i="1"/>
  <c r="J739" i="1"/>
  <c r="K739" i="1" s="1"/>
  <c r="I739" i="1"/>
  <c r="C739" i="1"/>
  <c r="B739" i="1"/>
  <c r="J738" i="1"/>
  <c r="K738" i="1" s="1"/>
  <c r="I738" i="1"/>
  <c r="C738" i="1"/>
  <c r="B738" i="1"/>
  <c r="J737" i="1"/>
  <c r="K737" i="1" s="1"/>
  <c r="I737" i="1"/>
  <c r="C737" i="1"/>
  <c r="B737" i="1"/>
  <c r="J736" i="1"/>
  <c r="K736" i="1" s="1"/>
  <c r="I736" i="1"/>
  <c r="C736" i="1"/>
  <c r="B736" i="1"/>
  <c r="J735" i="1"/>
  <c r="K735" i="1" s="1"/>
  <c r="I735" i="1"/>
  <c r="C735" i="1"/>
  <c r="B735" i="1"/>
  <c r="J734" i="1"/>
  <c r="K734" i="1" s="1"/>
  <c r="I734" i="1"/>
  <c r="C734" i="1"/>
  <c r="B734" i="1"/>
  <c r="J733" i="1"/>
  <c r="K733" i="1" s="1"/>
  <c r="I733" i="1"/>
  <c r="C733" i="1"/>
  <c r="B733" i="1"/>
  <c r="J732" i="1"/>
  <c r="K732" i="1" s="1"/>
  <c r="I732" i="1"/>
  <c r="C732" i="1"/>
  <c r="B732" i="1"/>
  <c r="J731" i="1"/>
  <c r="K731" i="1" s="1"/>
  <c r="I731" i="1"/>
  <c r="C731" i="1"/>
  <c r="B731" i="1"/>
  <c r="J730" i="1"/>
  <c r="K730" i="1" s="1"/>
  <c r="I730" i="1"/>
  <c r="C730" i="1"/>
  <c r="B730" i="1"/>
  <c r="J729" i="1"/>
  <c r="K729" i="1" s="1"/>
  <c r="I729" i="1"/>
  <c r="C729" i="1"/>
  <c r="B729" i="1"/>
  <c r="J728" i="1"/>
  <c r="K728" i="1" s="1"/>
  <c r="I728" i="1"/>
  <c r="C728" i="1"/>
  <c r="B728" i="1"/>
  <c r="J727" i="1"/>
  <c r="K727" i="1" s="1"/>
  <c r="I727" i="1"/>
  <c r="C727" i="1"/>
  <c r="B727" i="1"/>
  <c r="J726" i="1"/>
  <c r="K726" i="1" s="1"/>
  <c r="I726" i="1"/>
  <c r="C726" i="1"/>
  <c r="B726" i="1"/>
  <c r="J725" i="1"/>
  <c r="K725" i="1" s="1"/>
  <c r="I725" i="1"/>
  <c r="C725" i="1"/>
  <c r="B725" i="1"/>
  <c r="J724" i="1"/>
  <c r="K724" i="1" s="1"/>
  <c r="I724" i="1"/>
  <c r="C724" i="1"/>
  <c r="B724" i="1"/>
  <c r="J723" i="1"/>
  <c r="K723" i="1" s="1"/>
  <c r="I723" i="1"/>
  <c r="C723" i="1"/>
  <c r="B723" i="1"/>
  <c r="J722" i="1"/>
  <c r="K722" i="1" s="1"/>
  <c r="I722" i="1"/>
  <c r="C722" i="1"/>
  <c r="B722" i="1"/>
  <c r="J721" i="1"/>
  <c r="K721" i="1" s="1"/>
  <c r="I721" i="1"/>
  <c r="C721" i="1"/>
  <c r="B721" i="1"/>
  <c r="J720" i="1"/>
  <c r="K720" i="1" s="1"/>
  <c r="I720" i="1"/>
  <c r="C720" i="1"/>
  <c r="B720" i="1"/>
  <c r="J719" i="1"/>
  <c r="K719" i="1" s="1"/>
  <c r="I719" i="1"/>
  <c r="C719" i="1"/>
  <c r="B719" i="1"/>
  <c r="J718" i="1"/>
  <c r="K718" i="1" s="1"/>
  <c r="I718" i="1"/>
  <c r="C718" i="1"/>
  <c r="B718" i="1"/>
  <c r="J717" i="1"/>
  <c r="K717" i="1" s="1"/>
  <c r="I717" i="1"/>
  <c r="C717" i="1"/>
  <c r="B717" i="1"/>
  <c r="J716" i="1"/>
  <c r="K716" i="1" s="1"/>
  <c r="I716" i="1"/>
  <c r="C716" i="1"/>
  <c r="B716" i="1"/>
  <c r="J715" i="1"/>
  <c r="K715" i="1" s="1"/>
  <c r="I715" i="1"/>
  <c r="C715" i="1"/>
  <c r="B715" i="1"/>
  <c r="J714" i="1"/>
  <c r="K714" i="1" s="1"/>
  <c r="I714" i="1"/>
  <c r="C714" i="1"/>
  <c r="B714" i="1"/>
  <c r="J713" i="1"/>
  <c r="K713" i="1" s="1"/>
  <c r="I713" i="1"/>
  <c r="C713" i="1"/>
  <c r="B713" i="1"/>
  <c r="J712" i="1"/>
  <c r="K712" i="1" s="1"/>
  <c r="I712" i="1"/>
  <c r="C712" i="1"/>
  <c r="B712" i="1"/>
  <c r="J711" i="1"/>
  <c r="K711" i="1" s="1"/>
  <c r="I711" i="1"/>
  <c r="C711" i="1"/>
  <c r="B711" i="1"/>
  <c r="J710" i="1"/>
  <c r="K710" i="1" s="1"/>
  <c r="I710" i="1"/>
  <c r="C710" i="1"/>
  <c r="B710" i="1"/>
  <c r="J709" i="1"/>
  <c r="K709" i="1" s="1"/>
  <c r="I709" i="1"/>
  <c r="C709" i="1"/>
  <c r="B709" i="1"/>
  <c r="J708" i="1"/>
  <c r="K708" i="1" s="1"/>
  <c r="I708" i="1"/>
  <c r="C708" i="1"/>
  <c r="B708" i="1"/>
  <c r="J707" i="1"/>
  <c r="K707" i="1" s="1"/>
  <c r="I707" i="1"/>
  <c r="C707" i="1"/>
  <c r="B707" i="1"/>
  <c r="J706" i="1"/>
  <c r="K706" i="1" s="1"/>
  <c r="I706" i="1"/>
  <c r="C706" i="1"/>
  <c r="B706" i="1"/>
  <c r="J705" i="1"/>
  <c r="K705" i="1" s="1"/>
  <c r="I705" i="1"/>
  <c r="C705" i="1"/>
  <c r="B705" i="1"/>
  <c r="J704" i="1"/>
  <c r="K704" i="1" s="1"/>
  <c r="I704" i="1"/>
  <c r="C704" i="1"/>
  <c r="B704" i="1"/>
  <c r="J703" i="1"/>
  <c r="K703" i="1" s="1"/>
  <c r="I703" i="1"/>
  <c r="C703" i="1"/>
  <c r="B703" i="1"/>
  <c r="J702" i="1"/>
  <c r="K702" i="1" s="1"/>
  <c r="I702" i="1"/>
  <c r="C702" i="1"/>
  <c r="B702" i="1"/>
  <c r="J701" i="1"/>
  <c r="K701" i="1" s="1"/>
  <c r="I701" i="1"/>
  <c r="C701" i="1"/>
  <c r="B701" i="1"/>
  <c r="J700" i="1"/>
  <c r="K700" i="1" s="1"/>
  <c r="I700" i="1"/>
  <c r="C700" i="1"/>
  <c r="B700" i="1"/>
  <c r="J699" i="1"/>
  <c r="K699" i="1" s="1"/>
  <c r="I699" i="1"/>
  <c r="C699" i="1"/>
  <c r="B699" i="1"/>
  <c r="J698" i="1"/>
  <c r="K698" i="1" s="1"/>
  <c r="I698" i="1"/>
  <c r="C698" i="1"/>
  <c r="B698" i="1"/>
  <c r="J697" i="1"/>
  <c r="K697" i="1" s="1"/>
  <c r="I697" i="1"/>
  <c r="C697" i="1"/>
  <c r="B697" i="1"/>
  <c r="J696" i="1"/>
  <c r="K696" i="1" s="1"/>
  <c r="I696" i="1"/>
  <c r="C696" i="1"/>
  <c r="B696" i="1"/>
  <c r="J695" i="1"/>
  <c r="K695" i="1" s="1"/>
  <c r="I695" i="1"/>
  <c r="C695" i="1"/>
  <c r="B695" i="1"/>
  <c r="J694" i="1"/>
  <c r="K694" i="1" s="1"/>
  <c r="I694" i="1"/>
  <c r="C694" i="1"/>
  <c r="B694" i="1"/>
  <c r="J693" i="1"/>
  <c r="K693" i="1" s="1"/>
  <c r="I693" i="1"/>
  <c r="C693" i="1"/>
  <c r="B693" i="1"/>
  <c r="J692" i="1"/>
  <c r="K692" i="1" s="1"/>
  <c r="I692" i="1"/>
  <c r="C692" i="1"/>
  <c r="B692" i="1"/>
  <c r="J691" i="1"/>
  <c r="K691" i="1" s="1"/>
  <c r="I691" i="1"/>
  <c r="C691" i="1"/>
  <c r="B691" i="1"/>
  <c r="J690" i="1"/>
  <c r="K690" i="1" s="1"/>
  <c r="I690" i="1"/>
  <c r="C690" i="1"/>
  <c r="B690" i="1"/>
  <c r="J689" i="1"/>
  <c r="K689" i="1" s="1"/>
  <c r="I689" i="1"/>
  <c r="C689" i="1"/>
  <c r="B689" i="1"/>
  <c r="J688" i="1"/>
  <c r="K688" i="1" s="1"/>
  <c r="I688" i="1"/>
  <c r="C688" i="1"/>
  <c r="B688" i="1"/>
  <c r="J687" i="1"/>
  <c r="K687" i="1" s="1"/>
  <c r="I687" i="1"/>
  <c r="C687" i="1"/>
  <c r="B687" i="1"/>
  <c r="J686" i="1"/>
  <c r="K686" i="1" s="1"/>
  <c r="I686" i="1"/>
  <c r="C686" i="1"/>
  <c r="B686" i="1"/>
  <c r="J685" i="1"/>
  <c r="K685" i="1" s="1"/>
  <c r="I685" i="1"/>
  <c r="C685" i="1"/>
  <c r="B685" i="1"/>
  <c r="J684" i="1"/>
  <c r="K684" i="1" s="1"/>
  <c r="I684" i="1"/>
  <c r="C684" i="1"/>
  <c r="B684" i="1"/>
  <c r="J683" i="1"/>
  <c r="K683" i="1" s="1"/>
  <c r="I683" i="1"/>
  <c r="C683" i="1"/>
  <c r="B683" i="1"/>
  <c r="J682" i="1"/>
  <c r="K682" i="1" s="1"/>
  <c r="I682" i="1"/>
  <c r="C682" i="1"/>
  <c r="B682" i="1"/>
  <c r="J681" i="1"/>
  <c r="K681" i="1" s="1"/>
  <c r="I681" i="1"/>
  <c r="C681" i="1"/>
  <c r="B681" i="1"/>
  <c r="J680" i="1"/>
  <c r="K680" i="1" s="1"/>
  <c r="I680" i="1"/>
  <c r="C680" i="1"/>
  <c r="B680" i="1"/>
  <c r="J679" i="1"/>
  <c r="K679" i="1" s="1"/>
  <c r="I679" i="1"/>
  <c r="C679" i="1"/>
  <c r="B679" i="1"/>
  <c r="J678" i="1"/>
  <c r="K678" i="1" s="1"/>
  <c r="I678" i="1"/>
  <c r="C678" i="1"/>
  <c r="B678" i="1"/>
  <c r="J677" i="1"/>
  <c r="K677" i="1" s="1"/>
  <c r="I677" i="1"/>
  <c r="C677" i="1"/>
  <c r="B677" i="1"/>
  <c r="J676" i="1"/>
  <c r="K676" i="1" s="1"/>
  <c r="I676" i="1"/>
  <c r="C676" i="1"/>
  <c r="B676" i="1"/>
  <c r="J675" i="1"/>
  <c r="K675" i="1" s="1"/>
  <c r="I675" i="1"/>
  <c r="C675" i="1"/>
  <c r="B675" i="1"/>
  <c r="J674" i="1"/>
  <c r="K674" i="1" s="1"/>
  <c r="I674" i="1"/>
  <c r="C674" i="1"/>
  <c r="B674" i="1"/>
  <c r="J673" i="1"/>
  <c r="K673" i="1" s="1"/>
  <c r="I673" i="1"/>
  <c r="C673" i="1"/>
  <c r="B673" i="1"/>
  <c r="J672" i="1"/>
  <c r="K672" i="1" s="1"/>
  <c r="I672" i="1"/>
  <c r="C672" i="1"/>
  <c r="B672" i="1"/>
  <c r="J671" i="1"/>
  <c r="K671" i="1" s="1"/>
  <c r="I671" i="1"/>
  <c r="C671" i="1"/>
  <c r="B671" i="1"/>
  <c r="J670" i="1"/>
  <c r="K670" i="1" s="1"/>
  <c r="I670" i="1"/>
  <c r="C670" i="1"/>
  <c r="B670" i="1"/>
  <c r="J669" i="1"/>
  <c r="K669" i="1" s="1"/>
  <c r="I669" i="1"/>
  <c r="C669" i="1"/>
  <c r="B669" i="1"/>
  <c r="J668" i="1"/>
  <c r="K668" i="1" s="1"/>
  <c r="I668" i="1"/>
  <c r="C668" i="1"/>
  <c r="B668" i="1"/>
  <c r="J667" i="1"/>
  <c r="K667" i="1" s="1"/>
  <c r="I667" i="1"/>
  <c r="C667" i="1"/>
  <c r="B667" i="1"/>
  <c r="J666" i="1"/>
  <c r="K666" i="1" s="1"/>
  <c r="I666" i="1"/>
  <c r="C666" i="1"/>
  <c r="B666" i="1"/>
  <c r="J665" i="1"/>
  <c r="K665" i="1" s="1"/>
  <c r="I665" i="1"/>
  <c r="C665" i="1"/>
  <c r="B665" i="1"/>
  <c r="J664" i="1"/>
  <c r="K664" i="1" s="1"/>
  <c r="I664" i="1"/>
  <c r="C664" i="1"/>
  <c r="B664" i="1"/>
  <c r="J663" i="1"/>
  <c r="K663" i="1" s="1"/>
  <c r="I663" i="1"/>
  <c r="C663" i="1"/>
  <c r="B663" i="1"/>
  <c r="J662" i="1"/>
  <c r="K662" i="1" s="1"/>
  <c r="I662" i="1"/>
  <c r="C662" i="1"/>
  <c r="B662" i="1"/>
  <c r="J661" i="1"/>
  <c r="K661" i="1" s="1"/>
  <c r="I661" i="1"/>
  <c r="C661" i="1"/>
  <c r="B661" i="1"/>
  <c r="J660" i="1"/>
  <c r="K660" i="1" s="1"/>
  <c r="I660" i="1"/>
  <c r="C660" i="1"/>
  <c r="B660" i="1"/>
  <c r="J659" i="1"/>
  <c r="K659" i="1" s="1"/>
  <c r="I659" i="1"/>
  <c r="C659" i="1"/>
  <c r="B659" i="1"/>
  <c r="J658" i="1"/>
  <c r="K658" i="1" s="1"/>
  <c r="I658" i="1"/>
  <c r="C658" i="1"/>
  <c r="B658" i="1"/>
  <c r="J657" i="1"/>
  <c r="K657" i="1" s="1"/>
  <c r="I657" i="1"/>
  <c r="C657" i="1"/>
  <c r="B657" i="1"/>
  <c r="J656" i="1"/>
  <c r="K656" i="1" s="1"/>
  <c r="I656" i="1"/>
  <c r="C656" i="1"/>
  <c r="B656" i="1"/>
  <c r="J655" i="1"/>
  <c r="K655" i="1" s="1"/>
  <c r="I655" i="1"/>
  <c r="C655" i="1"/>
  <c r="B655" i="1"/>
  <c r="J654" i="1"/>
  <c r="K654" i="1" s="1"/>
  <c r="I654" i="1"/>
  <c r="C654" i="1"/>
  <c r="B654" i="1"/>
  <c r="J653" i="1"/>
  <c r="K653" i="1" s="1"/>
  <c r="I653" i="1"/>
  <c r="C653" i="1"/>
  <c r="B653" i="1"/>
  <c r="J652" i="1"/>
  <c r="K652" i="1" s="1"/>
  <c r="I652" i="1"/>
  <c r="C652" i="1"/>
  <c r="B652" i="1"/>
  <c r="J651" i="1"/>
  <c r="K651" i="1" s="1"/>
  <c r="I651" i="1"/>
  <c r="C651" i="1"/>
  <c r="B651" i="1"/>
  <c r="J650" i="1"/>
  <c r="K650" i="1" s="1"/>
  <c r="I650" i="1"/>
  <c r="C650" i="1"/>
  <c r="B650" i="1"/>
  <c r="J649" i="1"/>
  <c r="K649" i="1" s="1"/>
  <c r="I649" i="1"/>
  <c r="C649" i="1"/>
  <c r="B649" i="1"/>
  <c r="J648" i="1"/>
  <c r="K648" i="1" s="1"/>
  <c r="I648" i="1"/>
  <c r="C648" i="1"/>
  <c r="B648" i="1"/>
  <c r="J647" i="1"/>
  <c r="K647" i="1" s="1"/>
  <c r="I647" i="1"/>
  <c r="C647" i="1"/>
  <c r="B647" i="1"/>
  <c r="J646" i="1"/>
  <c r="K646" i="1" s="1"/>
  <c r="I646" i="1"/>
  <c r="C646" i="1"/>
  <c r="B646" i="1"/>
  <c r="J645" i="1"/>
  <c r="K645" i="1" s="1"/>
  <c r="I645" i="1"/>
  <c r="C645" i="1"/>
  <c r="B645" i="1"/>
  <c r="J644" i="1"/>
  <c r="K644" i="1" s="1"/>
  <c r="I644" i="1"/>
  <c r="C644" i="1"/>
  <c r="B644" i="1"/>
  <c r="J643" i="1"/>
  <c r="K643" i="1" s="1"/>
  <c r="I643" i="1"/>
  <c r="C643" i="1"/>
  <c r="B643" i="1"/>
  <c r="J642" i="1"/>
  <c r="K642" i="1" s="1"/>
  <c r="I642" i="1"/>
  <c r="C642" i="1"/>
  <c r="B642" i="1"/>
  <c r="J641" i="1"/>
  <c r="K641" i="1" s="1"/>
  <c r="I641" i="1"/>
  <c r="C641" i="1"/>
  <c r="B641" i="1"/>
  <c r="J640" i="1"/>
  <c r="K640" i="1" s="1"/>
  <c r="I640" i="1"/>
  <c r="C640" i="1"/>
  <c r="B640" i="1"/>
  <c r="J639" i="1"/>
  <c r="K639" i="1" s="1"/>
  <c r="I639" i="1"/>
  <c r="C639" i="1"/>
  <c r="B639" i="1"/>
  <c r="J638" i="1"/>
  <c r="K638" i="1" s="1"/>
  <c r="I638" i="1"/>
  <c r="C638" i="1"/>
  <c r="B638" i="1"/>
  <c r="J637" i="1"/>
  <c r="K637" i="1" s="1"/>
  <c r="I637" i="1"/>
  <c r="C637" i="1"/>
  <c r="B637" i="1"/>
  <c r="J636" i="1"/>
  <c r="K636" i="1" s="1"/>
  <c r="I636" i="1"/>
  <c r="C636" i="1"/>
  <c r="B636" i="1"/>
  <c r="J635" i="1"/>
  <c r="K635" i="1" s="1"/>
  <c r="I635" i="1"/>
  <c r="C635" i="1"/>
  <c r="B635" i="1"/>
  <c r="J634" i="1"/>
  <c r="K634" i="1" s="1"/>
  <c r="I634" i="1"/>
  <c r="C634" i="1"/>
  <c r="B634" i="1"/>
  <c r="J633" i="1"/>
  <c r="K633" i="1" s="1"/>
  <c r="I633" i="1"/>
  <c r="C633" i="1"/>
  <c r="B633" i="1"/>
  <c r="J632" i="1"/>
  <c r="K632" i="1" s="1"/>
  <c r="I632" i="1"/>
  <c r="C632" i="1"/>
  <c r="B632" i="1"/>
  <c r="J631" i="1"/>
  <c r="K631" i="1" s="1"/>
  <c r="I631" i="1"/>
  <c r="C631" i="1"/>
  <c r="B631" i="1"/>
  <c r="J630" i="1"/>
  <c r="K630" i="1" s="1"/>
  <c r="I630" i="1"/>
  <c r="C630" i="1"/>
  <c r="B630" i="1"/>
  <c r="J629" i="1"/>
  <c r="K629" i="1" s="1"/>
  <c r="I629" i="1"/>
  <c r="C629" i="1"/>
  <c r="B629" i="1"/>
  <c r="J628" i="1"/>
  <c r="K628" i="1" s="1"/>
  <c r="I628" i="1"/>
  <c r="C628" i="1"/>
  <c r="B628" i="1"/>
  <c r="J627" i="1"/>
  <c r="K627" i="1" s="1"/>
  <c r="I627" i="1"/>
  <c r="C627" i="1"/>
  <c r="B627" i="1"/>
  <c r="J626" i="1"/>
  <c r="K626" i="1" s="1"/>
  <c r="I626" i="1"/>
  <c r="C626" i="1"/>
  <c r="B626" i="1"/>
  <c r="J625" i="1"/>
  <c r="K625" i="1" s="1"/>
  <c r="I625" i="1"/>
  <c r="C625" i="1"/>
  <c r="B625" i="1"/>
  <c r="J624" i="1"/>
  <c r="K624" i="1" s="1"/>
  <c r="I624" i="1"/>
  <c r="C624" i="1"/>
  <c r="B624" i="1"/>
  <c r="J623" i="1"/>
  <c r="K623" i="1" s="1"/>
  <c r="I623" i="1"/>
  <c r="C623" i="1"/>
  <c r="B623" i="1"/>
  <c r="J622" i="1"/>
  <c r="K622" i="1" s="1"/>
  <c r="I622" i="1"/>
  <c r="C622" i="1"/>
  <c r="B622" i="1"/>
  <c r="J621" i="1"/>
  <c r="K621" i="1" s="1"/>
  <c r="I621" i="1"/>
  <c r="C621" i="1"/>
  <c r="B621" i="1"/>
  <c r="J620" i="1"/>
  <c r="K620" i="1" s="1"/>
  <c r="I620" i="1"/>
  <c r="C620" i="1"/>
  <c r="B620" i="1"/>
  <c r="J619" i="1"/>
  <c r="K619" i="1" s="1"/>
  <c r="I619" i="1"/>
  <c r="C619" i="1"/>
  <c r="B619" i="1"/>
  <c r="J618" i="1"/>
  <c r="K618" i="1" s="1"/>
  <c r="I618" i="1"/>
  <c r="C618" i="1"/>
  <c r="B618" i="1"/>
  <c r="J617" i="1"/>
  <c r="K617" i="1" s="1"/>
  <c r="I617" i="1"/>
  <c r="C617" i="1"/>
  <c r="B617" i="1"/>
  <c r="J616" i="1"/>
  <c r="K616" i="1" s="1"/>
  <c r="I616" i="1"/>
  <c r="C616" i="1"/>
  <c r="B616" i="1"/>
  <c r="J615" i="1"/>
  <c r="K615" i="1" s="1"/>
  <c r="I615" i="1"/>
  <c r="C615" i="1"/>
  <c r="B615" i="1"/>
  <c r="J614" i="1"/>
  <c r="K614" i="1" s="1"/>
  <c r="I614" i="1"/>
  <c r="C614" i="1"/>
  <c r="B614" i="1"/>
  <c r="J613" i="1"/>
  <c r="K613" i="1" s="1"/>
  <c r="I613" i="1"/>
  <c r="C613" i="1"/>
  <c r="B613" i="1"/>
  <c r="J612" i="1"/>
  <c r="K612" i="1" s="1"/>
  <c r="I612" i="1"/>
  <c r="C612" i="1"/>
  <c r="B612" i="1"/>
  <c r="J611" i="1"/>
  <c r="K611" i="1" s="1"/>
  <c r="I611" i="1"/>
  <c r="C611" i="1"/>
  <c r="B611" i="1"/>
  <c r="J610" i="1"/>
  <c r="K610" i="1" s="1"/>
  <c r="I610" i="1"/>
  <c r="C610" i="1"/>
  <c r="B610" i="1"/>
  <c r="J609" i="1"/>
  <c r="K609" i="1" s="1"/>
  <c r="I609" i="1"/>
  <c r="C609" i="1"/>
  <c r="B609" i="1"/>
  <c r="J608" i="1"/>
  <c r="K608" i="1" s="1"/>
  <c r="I608" i="1"/>
  <c r="C608" i="1"/>
  <c r="B608" i="1"/>
  <c r="J607" i="1"/>
  <c r="K607" i="1" s="1"/>
  <c r="I607" i="1"/>
  <c r="C607" i="1"/>
  <c r="B607" i="1"/>
  <c r="J606" i="1"/>
  <c r="K606" i="1" s="1"/>
  <c r="I606" i="1"/>
  <c r="C606" i="1"/>
  <c r="B606" i="1"/>
  <c r="J605" i="1"/>
  <c r="K605" i="1" s="1"/>
  <c r="I605" i="1"/>
  <c r="C605" i="1"/>
  <c r="B605" i="1"/>
  <c r="J604" i="1"/>
  <c r="K604" i="1" s="1"/>
  <c r="I604" i="1"/>
  <c r="C604" i="1"/>
  <c r="B604" i="1"/>
  <c r="J603" i="1"/>
  <c r="K603" i="1" s="1"/>
  <c r="I603" i="1"/>
  <c r="C603" i="1"/>
  <c r="B603" i="1"/>
  <c r="J602" i="1"/>
  <c r="K602" i="1" s="1"/>
  <c r="I602" i="1"/>
  <c r="C602" i="1"/>
  <c r="B602" i="1"/>
  <c r="J601" i="1"/>
  <c r="K601" i="1" s="1"/>
  <c r="I601" i="1"/>
  <c r="C601" i="1"/>
  <c r="B601" i="1"/>
  <c r="J600" i="1"/>
  <c r="K600" i="1" s="1"/>
  <c r="I600" i="1"/>
  <c r="C600" i="1"/>
  <c r="B600" i="1"/>
  <c r="J599" i="1"/>
  <c r="K599" i="1" s="1"/>
  <c r="I599" i="1"/>
  <c r="C599" i="1"/>
  <c r="B599" i="1"/>
  <c r="J598" i="1"/>
  <c r="K598" i="1" s="1"/>
  <c r="I598" i="1"/>
  <c r="C598" i="1"/>
  <c r="B598" i="1"/>
  <c r="J597" i="1"/>
  <c r="K597" i="1" s="1"/>
  <c r="I597" i="1"/>
  <c r="C597" i="1"/>
  <c r="B597" i="1"/>
  <c r="J596" i="1"/>
  <c r="K596" i="1" s="1"/>
  <c r="I596" i="1"/>
  <c r="C596" i="1"/>
  <c r="B596" i="1"/>
  <c r="J595" i="1"/>
  <c r="K595" i="1" s="1"/>
  <c r="I595" i="1"/>
  <c r="C595" i="1"/>
  <c r="B595" i="1"/>
  <c r="J594" i="1"/>
  <c r="K594" i="1" s="1"/>
  <c r="I594" i="1"/>
  <c r="C594" i="1"/>
  <c r="B594" i="1"/>
  <c r="J593" i="1"/>
  <c r="K593" i="1" s="1"/>
  <c r="I593" i="1"/>
  <c r="C593" i="1"/>
  <c r="B593" i="1"/>
  <c r="J592" i="1"/>
  <c r="K592" i="1" s="1"/>
  <c r="I592" i="1"/>
  <c r="C592" i="1"/>
  <c r="B592" i="1"/>
  <c r="J591" i="1"/>
  <c r="K591" i="1" s="1"/>
  <c r="I591" i="1"/>
  <c r="C591" i="1"/>
  <c r="B591" i="1"/>
  <c r="J590" i="1"/>
  <c r="K590" i="1" s="1"/>
  <c r="I590" i="1"/>
  <c r="C590" i="1"/>
  <c r="B590" i="1"/>
  <c r="J589" i="1"/>
  <c r="K589" i="1" s="1"/>
  <c r="I589" i="1"/>
  <c r="C589" i="1"/>
  <c r="B589" i="1"/>
  <c r="J588" i="1"/>
  <c r="K588" i="1" s="1"/>
  <c r="I588" i="1"/>
  <c r="C588" i="1"/>
  <c r="B588" i="1"/>
  <c r="J587" i="1"/>
  <c r="K587" i="1" s="1"/>
  <c r="I587" i="1"/>
  <c r="C587" i="1"/>
  <c r="B587" i="1"/>
  <c r="J586" i="1"/>
  <c r="K586" i="1" s="1"/>
  <c r="I586" i="1"/>
  <c r="C586" i="1"/>
  <c r="B586" i="1"/>
  <c r="J585" i="1"/>
  <c r="K585" i="1" s="1"/>
  <c r="I585" i="1"/>
  <c r="C585" i="1"/>
  <c r="B585" i="1"/>
  <c r="J584" i="1"/>
  <c r="K584" i="1" s="1"/>
  <c r="I584" i="1"/>
  <c r="C584" i="1"/>
  <c r="B584" i="1"/>
  <c r="J583" i="1"/>
  <c r="K583" i="1" s="1"/>
  <c r="I583" i="1"/>
  <c r="C583" i="1"/>
  <c r="B583" i="1"/>
  <c r="J582" i="1"/>
  <c r="K582" i="1" s="1"/>
  <c r="I582" i="1"/>
  <c r="C582" i="1"/>
  <c r="B582" i="1"/>
  <c r="J581" i="1"/>
  <c r="K581" i="1" s="1"/>
  <c r="I581" i="1"/>
  <c r="C581" i="1"/>
  <c r="B581" i="1"/>
  <c r="J580" i="1"/>
  <c r="K580" i="1" s="1"/>
  <c r="I580" i="1"/>
  <c r="C580" i="1"/>
  <c r="B580" i="1"/>
  <c r="J579" i="1"/>
  <c r="K579" i="1" s="1"/>
  <c r="I579" i="1"/>
  <c r="C579" i="1"/>
  <c r="B579" i="1"/>
  <c r="J578" i="1"/>
  <c r="K578" i="1" s="1"/>
  <c r="I578" i="1"/>
  <c r="C578" i="1"/>
  <c r="B578" i="1"/>
  <c r="J577" i="1"/>
  <c r="K577" i="1" s="1"/>
  <c r="I577" i="1"/>
  <c r="C577" i="1"/>
  <c r="B577" i="1"/>
  <c r="J576" i="1"/>
  <c r="K576" i="1" s="1"/>
  <c r="I576" i="1"/>
  <c r="C576" i="1"/>
  <c r="B576" i="1"/>
  <c r="J575" i="1"/>
  <c r="K575" i="1" s="1"/>
  <c r="I575" i="1"/>
  <c r="C575" i="1"/>
  <c r="B575" i="1"/>
  <c r="J574" i="1"/>
  <c r="K574" i="1" s="1"/>
  <c r="I574" i="1"/>
  <c r="C574" i="1"/>
  <c r="B574" i="1"/>
  <c r="J573" i="1"/>
  <c r="K573" i="1" s="1"/>
  <c r="I573" i="1"/>
  <c r="C573" i="1"/>
  <c r="B573" i="1"/>
  <c r="J572" i="1"/>
  <c r="K572" i="1" s="1"/>
  <c r="I572" i="1"/>
  <c r="C572" i="1"/>
  <c r="B572" i="1"/>
  <c r="J571" i="1"/>
  <c r="K571" i="1" s="1"/>
  <c r="I571" i="1"/>
  <c r="C571" i="1"/>
  <c r="B571" i="1"/>
  <c r="J570" i="1"/>
  <c r="K570" i="1" s="1"/>
  <c r="I570" i="1"/>
  <c r="C570" i="1"/>
  <c r="B570" i="1"/>
  <c r="J569" i="1"/>
  <c r="K569" i="1" s="1"/>
  <c r="I569" i="1"/>
  <c r="C569" i="1"/>
  <c r="B569" i="1"/>
  <c r="J568" i="1"/>
  <c r="K568" i="1" s="1"/>
  <c r="I568" i="1"/>
  <c r="C568" i="1"/>
  <c r="B568" i="1"/>
  <c r="J567" i="1"/>
  <c r="K567" i="1" s="1"/>
  <c r="I567" i="1"/>
  <c r="C567" i="1"/>
  <c r="B567" i="1"/>
  <c r="J566" i="1"/>
  <c r="K566" i="1" s="1"/>
  <c r="I566" i="1"/>
  <c r="C566" i="1"/>
  <c r="B566" i="1"/>
  <c r="J565" i="1"/>
  <c r="K565" i="1" s="1"/>
  <c r="I565" i="1"/>
  <c r="C565" i="1"/>
  <c r="B565" i="1"/>
  <c r="J564" i="1"/>
  <c r="K564" i="1" s="1"/>
  <c r="I564" i="1"/>
  <c r="C564" i="1"/>
  <c r="B564" i="1"/>
  <c r="J563" i="1"/>
  <c r="K563" i="1" s="1"/>
  <c r="I563" i="1"/>
  <c r="C563" i="1"/>
  <c r="B563" i="1"/>
  <c r="J562" i="1"/>
  <c r="K562" i="1" s="1"/>
  <c r="I562" i="1"/>
  <c r="C562" i="1"/>
  <c r="B562" i="1"/>
  <c r="J561" i="1"/>
  <c r="K561" i="1" s="1"/>
  <c r="I561" i="1"/>
  <c r="C561" i="1"/>
  <c r="B561" i="1"/>
  <c r="J560" i="1"/>
  <c r="K560" i="1" s="1"/>
  <c r="I560" i="1"/>
  <c r="C560" i="1"/>
  <c r="B560" i="1"/>
  <c r="J559" i="1"/>
  <c r="K559" i="1" s="1"/>
  <c r="I559" i="1"/>
  <c r="C559" i="1"/>
  <c r="B559" i="1"/>
  <c r="J558" i="1"/>
  <c r="K558" i="1" s="1"/>
  <c r="I558" i="1"/>
  <c r="C558" i="1"/>
  <c r="B558" i="1"/>
  <c r="J557" i="1"/>
  <c r="K557" i="1" s="1"/>
  <c r="I557" i="1"/>
  <c r="C557" i="1"/>
  <c r="B557" i="1"/>
  <c r="J556" i="1"/>
  <c r="K556" i="1" s="1"/>
  <c r="I556" i="1"/>
  <c r="C556" i="1"/>
  <c r="B556" i="1"/>
  <c r="J555" i="1"/>
  <c r="K555" i="1" s="1"/>
  <c r="I555" i="1"/>
  <c r="C555" i="1"/>
  <c r="B555" i="1"/>
  <c r="J554" i="1"/>
  <c r="K554" i="1" s="1"/>
  <c r="I554" i="1"/>
  <c r="C554" i="1"/>
  <c r="B554" i="1"/>
  <c r="J553" i="1"/>
  <c r="K553" i="1" s="1"/>
  <c r="I553" i="1"/>
  <c r="C553" i="1"/>
  <c r="B553" i="1"/>
  <c r="J552" i="1"/>
  <c r="K552" i="1" s="1"/>
  <c r="I552" i="1"/>
  <c r="C552" i="1"/>
  <c r="B552" i="1"/>
  <c r="J551" i="1"/>
  <c r="K551" i="1" s="1"/>
  <c r="I551" i="1"/>
  <c r="C551" i="1"/>
  <c r="B551" i="1"/>
  <c r="J550" i="1"/>
  <c r="K550" i="1" s="1"/>
  <c r="I550" i="1"/>
  <c r="C550" i="1"/>
  <c r="B550" i="1"/>
  <c r="J549" i="1"/>
  <c r="K549" i="1" s="1"/>
  <c r="I549" i="1"/>
  <c r="C549" i="1"/>
  <c r="B549" i="1"/>
  <c r="J548" i="1"/>
  <c r="K548" i="1" s="1"/>
  <c r="I548" i="1"/>
  <c r="C548" i="1"/>
  <c r="B548" i="1"/>
  <c r="J547" i="1"/>
  <c r="K547" i="1" s="1"/>
  <c r="I547" i="1"/>
  <c r="C547" i="1"/>
  <c r="B547" i="1"/>
  <c r="J546" i="1"/>
  <c r="K546" i="1" s="1"/>
  <c r="I546" i="1"/>
  <c r="C546" i="1"/>
  <c r="B546" i="1"/>
  <c r="J545" i="1"/>
  <c r="K545" i="1" s="1"/>
  <c r="I545" i="1"/>
  <c r="C545" i="1"/>
  <c r="B545" i="1"/>
  <c r="J544" i="1"/>
  <c r="K544" i="1" s="1"/>
  <c r="I544" i="1"/>
  <c r="C544" i="1"/>
  <c r="B544" i="1"/>
  <c r="J543" i="1"/>
  <c r="K543" i="1" s="1"/>
  <c r="I543" i="1"/>
  <c r="C543" i="1"/>
  <c r="B543" i="1"/>
  <c r="J542" i="1"/>
  <c r="K542" i="1" s="1"/>
  <c r="I542" i="1"/>
  <c r="C542" i="1"/>
  <c r="B542" i="1"/>
  <c r="J541" i="1"/>
  <c r="K541" i="1" s="1"/>
  <c r="I541" i="1"/>
  <c r="C541" i="1"/>
  <c r="B541" i="1"/>
  <c r="J540" i="1"/>
  <c r="K540" i="1" s="1"/>
  <c r="I540" i="1"/>
  <c r="C540" i="1"/>
  <c r="B540" i="1"/>
  <c r="J539" i="1"/>
  <c r="K539" i="1" s="1"/>
  <c r="I539" i="1"/>
  <c r="C539" i="1"/>
  <c r="B539" i="1"/>
  <c r="J538" i="1"/>
  <c r="K538" i="1" s="1"/>
  <c r="I538" i="1"/>
  <c r="C538" i="1"/>
  <c r="B538" i="1"/>
  <c r="J537" i="1"/>
  <c r="K537" i="1" s="1"/>
  <c r="I537" i="1"/>
  <c r="C537" i="1"/>
  <c r="B537" i="1"/>
  <c r="J536" i="1"/>
  <c r="K536" i="1" s="1"/>
  <c r="I536" i="1"/>
  <c r="C536" i="1"/>
  <c r="B536" i="1"/>
  <c r="J535" i="1"/>
  <c r="K535" i="1" s="1"/>
  <c r="I535" i="1"/>
  <c r="C535" i="1"/>
  <c r="B535" i="1"/>
  <c r="J534" i="1"/>
  <c r="K534" i="1" s="1"/>
  <c r="I534" i="1"/>
  <c r="C534" i="1"/>
  <c r="B534" i="1"/>
  <c r="J533" i="1"/>
  <c r="K533" i="1" s="1"/>
  <c r="I533" i="1"/>
  <c r="C533" i="1"/>
  <c r="B533" i="1"/>
  <c r="J532" i="1"/>
  <c r="K532" i="1" s="1"/>
  <c r="I532" i="1"/>
  <c r="C532" i="1"/>
  <c r="B532" i="1"/>
  <c r="J531" i="1"/>
  <c r="K531" i="1" s="1"/>
  <c r="I531" i="1"/>
  <c r="C531" i="1"/>
  <c r="B531" i="1"/>
  <c r="J530" i="1"/>
  <c r="K530" i="1" s="1"/>
  <c r="I530" i="1"/>
  <c r="C530" i="1"/>
  <c r="B530" i="1"/>
  <c r="J529" i="1"/>
  <c r="K529" i="1" s="1"/>
  <c r="I529" i="1"/>
  <c r="C529" i="1"/>
  <c r="B529" i="1"/>
  <c r="J528" i="1"/>
  <c r="K528" i="1" s="1"/>
  <c r="I528" i="1"/>
  <c r="C528" i="1"/>
  <c r="B528" i="1"/>
  <c r="J527" i="1"/>
  <c r="K527" i="1" s="1"/>
  <c r="I527" i="1"/>
  <c r="C527" i="1"/>
  <c r="B527" i="1"/>
  <c r="J526" i="1"/>
  <c r="K526" i="1" s="1"/>
  <c r="I526" i="1"/>
  <c r="C526" i="1"/>
  <c r="B526" i="1"/>
  <c r="J525" i="1"/>
  <c r="K525" i="1" s="1"/>
  <c r="I525" i="1"/>
  <c r="C525" i="1"/>
  <c r="B525" i="1"/>
  <c r="J524" i="1"/>
  <c r="K524" i="1" s="1"/>
  <c r="I524" i="1"/>
  <c r="C524" i="1"/>
  <c r="B524" i="1"/>
  <c r="J523" i="1"/>
  <c r="K523" i="1" s="1"/>
  <c r="I523" i="1"/>
  <c r="C523" i="1"/>
  <c r="B523" i="1"/>
  <c r="J522" i="1"/>
  <c r="K522" i="1" s="1"/>
  <c r="I522" i="1"/>
  <c r="C522" i="1"/>
  <c r="B522" i="1"/>
  <c r="J521" i="1"/>
  <c r="K521" i="1" s="1"/>
  <c r="I521" i="1"/>
  <c r="C521" i="1"/>
  <c r="B521" i="1"/>
  <c r="J520" i="1"/>
  <c r="K520" i="1" s="1"/>
  <c r="I520" i="1"/>
  <c r="C520" i="1"/>
  <c r="B520" i="1"/>
  <c r="J519" i="1"/>
  <c r="K519" i="1" s="1"/>
  <c r="I519" i="1"/>
  <c r="C519" i="1"/>
  <c r="B519" i="1"/>
  <c r="J518" i="1"/>
  <c r="K518" i="1" s="1"/>
  <c r="I518" i="1"/>
  <c r="C518" i="1"/>
  <c r="B518" i="1"/>
  <c r="J517" i="1"/>
  <c r="K517" i="1" s="1"/>
  <c r="I517" i="1"/>
  <c r="C517" i="1"/>
  <c r="B517" i="1"/>
  <c r="J516" i="1"/>
  <c r="K516" i="1" s="1"/>
  <c r="I516" i="1"/>
  <c r="C516" i="1"/>
  <c r="B516" i="1"/>
  <c r="J515" i="1"/>
  <c r="K515" i="1" s="1"/>
  <c r="I515" i="1"/>
  <c r="C515" i="1"/>
  <c r="B515" i="1"/>
  <c r="J514" i="1"/>
  <c r="K514" i="1" s="1"/>
  <c r="I514" i="1"/>
  <c r="C514" i="1"/>
  <c r="B514" i="1"/>
  <c r="J513" i="1"/>
  <c r="K513" i="1" s="1"/>
  <c r="I513" i="1"/>
  <c r="C513" i="1"/>
  <c r="B513" i="1"/>
  <c r="J512" i="1"/>
  <c r="K512" i="1" s="1"/>
  <c r="I512" i="1"/>
  <c r="C512" i="1"/>
  <c r="B512" i="1"/>
  <c r="J511" i="1"/>
  <c r="K511" i="1" s="1"/>
  <c r="I511" i="1"/>
  <c r="C511" i="1"/>
  <c r="B511" i="1"/>
  <c r="J510" i="1"/>
  <c r="K510" i="1" s="1"/>
  <c r="I510" i="1"/>
  <c r="C510" i="1"/>
  <c r="B510" i="1"/>
  <c r="J509" i="1"/>
  <c r="K509" i="1" s="1"/>
  <c r="I509" i="1"/>
  <c r="C509" i="1"/>
  <c r="B509" i="1"/>
  <c r="J508" i="1"/>
  <c r="K508" i="1" s="1"/>
  <c r="I508" i="1"/>
  <c r="C508" i="1"/>
  <c r="B508" i="1"/>
  <c r="J507" i="1"/>
  <c r="K507" i="1" s="1"/>
  <c r="I507" i="1"/>
  <c r="C507" i="1"/>
  <c r="B507" i="1"/>
  <c r="J506" i="1"/>
  <c r="K506" i="1" s="1"/>
  <c r="I506" i="1"/>
  <c r="C506" i="1"/>
  <c r="B506" i="1"/>
  <c r="J505" i="1"/>
  <c r="K505" i="1" s="1"/>
  <c r="I505" i="1"/>
  <c r="C505" i="1"/>
  <c r="B505" i="1"/>
  <c r="J504" i="1"/>
  <c r="K504" i="1" s="1"/>
  <c r="I504" i="1"/>
  <c r="C504" i="1"/>
  <c r="B504" i="1"/>
  <c r="J503" i="1"/>
  <c r="K503" i="1" s="1"/>
  <c r="I503" i="1"/>
  <c r="C503" i="1"/>
  <c r="B503" i="1"/>
  <c r="J502" i="1"/>
  <c r="K502" i="1" s="1"/>
  <c r="I502" i="1"/>
  <c r="C502" i="1"/>
  <c r="B502" i="1"/>
  <c r="J501" i="1"/>
  <c r="K501" i="1" s="1"/>
  <c r="I501" i="1"/>
  <c r="C501" i="1"/>
  <c r="B501" i="1"/>
  <c r="J500" i="1"/>
  <c r="K500" i="1" s="1"/>
  <c r="I500" i="1"/>
  <c r="C500" i="1"/>
  <c r="B500" i="1"/>
  <c r="J499" i="1"/>
  <c r="K499" i="1" s="1"/>
  <c r="I499" i="1"/>
  <c r="C499" i="1"/>
  <c r="B499" i="1"/>
  <c r="J498" i="1"/>
  <c r="K498" i="1" s="1"/>
  <c r="I498" i="1"/>
  <c r="C498" i="1"/>
  <c r="B498" i="1"/>
  <c r="J497" i="1"/>
  <c r="K497" i="1" s="1"/>
  <c r="I497" i="1"/>
  <c r="C497" i="1"/>
  <c r="B497" i="1"/>
  <c r="J496" i="1"/>
  <c r="K496" i="1" s="1"/>
  <c r="I496" i="1"/>
  <c r="C496" i="1"/>
  <c r="B496" i="1"/>
  <c r="J495" i="1"/>
  <c r="K495" i="1" s="1"/>
  <c r="I495" i="1"/>
  <c r="C495" i="1"/>
  <c r="B495" i="1"/>
  <c r="J494" i="1"/>
  <c r="K494" i="1" s="1"/>
  <c r="I494" i="1"/>
  <c r="C494" i="1"/>
  <c r="B494" i="1"/>
  <c r="J493" i="1"/>
  <c r="K493" i="1" s="1"/>
  <c r="I493" i="1"/>
  <c r="C493" i="1"/>
  <c r="B493" i="1"/>
  <c r="J492" i="1"/>
  <c r="K492" i="1" s="1"/>
  <c r="I492" i="1"/>
  <c r="C492" i="1"/>
  <c r="B492" i="1"/>
  <c r="J491" i="1"/>
  <c r="K491" i="1" s="1"/>
  <c r="I491" i="1"/>
  <c r="C491" i="1"/>
  <c r="B491" i="1"/>
  <c r="J490" i="1"/>
  <c r="K490" i="1" s="1"/>
  <c r="I490" i="1"/>
  <c r="C490" i="1"/>
  <c r="B490" i="1"/>
  <c r="J489" i="1"/>
  <c r="K489" i="1" s="1"/>
  <c r="I489" i="1"/>
  <c r="C489" i="1"/>
  <c r="B489" i="1"/>
  <c r="J488" i="1"/>
  <c r="K488" i="1" s="1"/>
  <c r="I488" i="1"/>
  <c r="C488" i="1"/>
  <c r="B488" i="1"/>
  <c r="J487" i="1"/>
  <c r="K487" i="1" s="1"/>
  <c r="I487" i="1"/>
  <c r="C487" i="1"/>
  <c r="B487" i="1"/>
  <c r="J486" i="1"/>
  <c r="K486" i="1" s="1"/>
  <c r="I486" i="1"/>
  <c r="C486" i="1"/>
  <c r="B486" i="1"/>
  <c r="J485" i="1"/>
  <c r="K485" i="1" s="1"/>
  <c r="I485" i="1"/>
  <c r="C485" i="1"/>
  <c r="B485" i="1"/>
  <c r="J484" i="1"/>
  <c r="K484" i="1" s="1"/>
  <c r="I484" i="1"/>
  <c r="C484" i="1"/>
  <c r="B484" i="1"/>
  <c r="J483" i="1"/>
  <c r="K483" i="1" s="1"/>
  <c r="I483" i="1"/>
  <c r="C483" i="1"/>
  <c r="B483" i="1"/>
  <c r="J482" i="1"/>
  <c r="K482" i="1" s="1"/>
  <c r="I482" i="1"/>
  <c r="C482" i="1"/>
  <c r="B482" i="1"/>
  <c r="J481" i="1"/>
  <c r="K481" i="1" s="1"/>
  <c r="I481" i="1"/>
  <c r="C481" i="1"/>
  <c r="B481" i="1"/>
  <c r="J480" i="1"/>
  <c r="K480" i="1" s="1"/>
  <c r="I480" i="1"/>
  <c r="C480" i="1"/>
  <c r="B480" i="1"/>
  <c r="J479" i="1"/>
  <c r="K479" i="1" s="1"/>
  <c r="I479" i="1"/>
  <c r="C479" i="1"/>
  <c r="B479" i="1"/>
  <c r="J478" i="1"/>
  <c r="K478" i="1" s="1"/>
  <c r="I478" i="1"/>
  <c r="C478" i="1"/>
  <c r="B478" i="1"/>
  <c r="J477" i="1"/>
  <c r="K477" i="1" s="1"/>
  <c r="I477" i="1"/>
  <c r="C477" i="1"/>
  <c r="B477" i="1"/>
  <c r="J476" i="1"/>
  <c r="K476" i="1" s="1"/>
  <c r="I476" i="1"/>
  <c r="C476" i="1"/>
  <c r="B476" i="1"/>
  <c r="J475" i="1"/>
  <c r="K475" i="1" s="1"/>
  <c r="I475" i="1"/>
  <c r="C475" i="1"/>
  <c r="B475" i="1"/>
  <c r="J474" i="1"/>
  <c r="K474" i="1" s="1"/>
  <c r="I474" i="1"/>
  <c r="C474" i="1"/>
  <c r="B474" i="1"/>
  <c r="J473" i="1"/>
  <c r="K473" i="1" s="1"/>
  <c r="I473" i="1"/>
  <c r="C473" i="1"/>
  <c r="B473" i="1"/>
  <c r="J472" i="1"/>
  <c r="K472" i="1" s="1"/>
  <c r="I472" i="1"/>
  <c r="C472" i="1"/>
  <c r="B472" i="1"/>
  <c r="J471" i="1"/>
  <c r="K471" i="1" s="1"/>
  <c r="I471" i="1"/>
  <c r="C471" i="1"/>
  <c r="B471" i="1"/>
  <c r="J470" i="1"/>
  <c r="K470" i="1" s="1"/>
  <c r="I470" i="1"/>
  <c r="C470" i="1"/>
  <c r="B470" i="1"/>
  <c r="J469" i="1"/>
  <c r="K469" i="1" s="1"/>
  <c r="I469" i="1"/>
  <c r="C469" i="1"/>
  <c r="B469" i="1"/>
  <c r="J468" i="1"/>
  <c r="K468" i="1" s="1"/>
  <c r="I468" i="1"/>
  <c r="C468" i="1"/>
  <c r="B468" i="1"/>
  <c r="J467" i="1"/>
  <c r="K467" i="1" s="1"/>
  <c r="I467" i="1"/>
  <c r="C467" i="1"/>
  <c r="B467" i="1"/>
  <c r="J466" i="1"/>
  <c r="K466" i="1" s="1"/>
  <c r="I466" i="1"/>
  <c r="C466" i="1"/>
  <c r="B466" i="1"/>
  <c r="J465" i="1"/>
  <c r="K465" i="1" s="1"/>
  <c r="I465" i="1"/>
  <c r="C465" i="1"/>
  <c r="B465" i="1"/>
  <c r="J464" i="1"/>
  <c r="K464" i="1" s="1"/>
  <c r="I464" i="1"/>
  <c r="C464" i="1"/>
  <c r="B464" i="1"/>
  <c r="J463" i="1"/>
  <c r="K463" i="1" s="1"/>
  <c r="I463" i="1"/>
  <c r="C463" i="1"/>
  <c r="B463" i="1"/>
  <c r="J462" i="1"/>
  <c r="K462" i="1" s="1"/>
  <c r="I462" i="1"/>
  <c r="C462" i="1"/>
  <c r="B462" i="1"/>
  <c r="J461" i="1"/>
  <c r="K461" i="1" s="1"/>
  <c r="I461" i="1"/>
  <c r="C461" i="1"/>
  <c r="B461" i="1"/>
  <c r="J460" i="1"/>
  <c r="K460" i="1" s="1"/>
  <c r="I460" i="1"/>
  <c r="C460" i="1"/>
  <c r="B460" i="1"/>
  <c r="J459" i="1"/>
  <c r="K459" i="1" s="1"/>
  <c r="I459" i="1"/>
  <c r="C459" i="1"/>
  <c r="B459" i="1"/>
  <c r="J458" i="1"/>
  <c r="K458" i="1" s="1"/>
  <c r="I458" i="1"/>
  <c r="C458" i="1"/>
  <c r="B458" i="1"/>
  <c r="J457" i="1"/>
  <c r="K457" i="1" s="1"/>
  <c r="I457" i="1"/>
  <c r="C457" i="1"/>
  <c r="B457" i="1"/>
  <c r="J456" i="1"/>
  <c r="K456" i="1" s="1"/>
  <c r="I456" i="1"/>
  <c r="C456" i="1"/>
  <c r="B456" i="1"/>
  <c r="J455" i="1"/>
  <c r="K455" i="1" s="1"/>
  <c r="I455" i="1"/>
  <c r="C455" i="1"/>
  <c r="B455" i="1"/>
  <c r="J454" i="1"/>
  <c r="K454" i="1" s="1"/>
  <c r="I454" i="1"/>
  <c r="C454" i="1"/>
  <c r="B454" i="1"/>
  <c r="J453" i="1"/>
  <c r="K453" i="1" s="1"/>
  <c r="I453" i="1"/>
  <c r="C453" i="1"/>
  <c r="B453" i="1"/>
  <c r="J452" i="1"/>
  <c r="K452" i="1" s="1"/>
  <c r="I452" i="1"/>
  <c r="C452" i="1"/>
  <c r="B452" i="1"/>
  <c r="J451" i="1"/>
  <c r="K451" i="1" s="1"/>
  <c r="I451" i="1"/>
  <c r="C451" i="1"/>
  <c r="B451" i="1"/>
  <c r="J450" i="1"/>
  <c r="K450" i="1" s="1"/>
  <c r="I450" i="1"/>
  <c r="C450" i="1"/>
  <c r="B450" i="1"/>
  <c r="J449" i="1"/>
  <c r="K449" i="1" s="1"/>
  <c r="I449" i="1"/>
  <c r="C449" i="1"/>
  <c r="B449" i="1"/>
  <c r="J448" i="1"/>
  <c r="K448" i="1" s="1"/>
  <c r="I448" i="1"/>
  <c r="C448" i="1"/>
  <c r="B448" i="1"/>
  <c r="J447" i="1"/>
  <c r="K447" i="1" s="1"/>
  <c r="I447" i="1"/>
  <c r="C447" i="1"/>
  <c r="B447" i="1"/>
  <c r="J446" i="1"/>
  <c r="K446" i="1" s="1"/>
  <c r="I446" i="1"/>
  <c r="C446" i="1"/>
  <c r="B446" i="1"/>
  <c r="J445" i="1"/>
  <c r="K445" i="1" s="1"/>
  <c r="I445" i="1"/>
  <c r="C445" i="1"/>
  <c r="B445" i="1"/>
  <c r="J444" i="1"/>
  <c r="K444" i="1" s="1"/>
  <c r="I444" i="1"/>
  <c r="C444" i="1"/>
  <c r="B444" i="1"/>
  <c r="J443" i="1"/>
  <c r="K443" i="1" s="1"/>
  <c r="I443" i="1"/>
  <c r="C443" i="1"/>
  <c r="B443" i="1"/>
  <c r="J442" i="1"/>
  <c r="K442" i="1" s="1"/>
  <c r="I442" i="1"/>
  <c r="C442" i="1"/>
  <c r="B442" i="1"/>
  <c r="J441" i="1"/>
  <c r="K441" i="1" s="1"/>
  <c r="I441" i="1"/>
  <c r="C441" i="1"/>
  <c r="B441" i="1"/>
  <c r="J440" i="1"/>
  <c r="K440" i="1" s="1"/>
  <c r="I440" i="1"/>
  <c r="C440" i="1"/>
  <c r="B440" i="1"/>
  <c r="J439" i="1"/>
  <c r="K439" i="1" s="1"/>
  <c r="I439" i="1"/>
  <c r="C439" i="1"/>
  <c r="B439" i="1"/>
  <c r="J438" i="1"/>
  <c r="K438" i="1" s="1"/>
  <c r="I438" i="1"/>
  <c r="C438" i="1"/>
  <c r="B438" i="1"/>
  <c r="J437" i="1"/>
  <c r="K437" i="1" s="1"/>
  <c r="I437" i="1"/>
  <c r="C437" i="1"/>
  <c r="B437" i="1"/>
  <c r="J436" i="1"/>
  <c r="K436" i="1" s="1"/>
  <c r="I436" i="1"/>
  <c r="C436" i="1"/>
  <c r="B436" i="1"/>
  <c r="J435" i="1"/>
  <c r="K435" i="1" s="1"/>
  <c r="I435" i="1"/>
  <c r="C435" i="1"/>
  <c r="B435" i="1"/>
  <c r="J434" i="1"/>
  <c r="K434" i="1" s="1"/>
  <c r="I434" i="1"/>
  <c r="C434" i="1"/>
  <c r="B434" i="1"/>
  <c r="J433" i="1"/>
  <c r="K433" i="1" s="1"/>
  <c r="I433" i="1"/>
  <c r="C433" i="1"/>
  <c r="B433" i="1"/>
  <c r="J432" i="1"/>
  <c r="K432" i="1" s="1"/>
  <c r="I432" i="1"/>
  <c r="C432" i="1"/>
  <c r="B432" i="1"/>
  <c r="J431" i="1"/>
  <c r="K431" i="1" s="1"/>
  <c r="I431" i="1"/>
  <c r="C431" i="1"/>
  <c r="B431" i="1"/>
  <c r="J430" i="1"/>
  <c r="K430" i="1" s="1"/>
  <c r="I430" i="1"/>
  <c r="C430" i="1"/>
  <c r="B430" i="1"/>
  <c r="J429" i="1"/>
  <c r="K429" i="1" s="1"/>
  <c r="I429" i="1"/>
  <c r="C429" i="1"/>
  <c r="B429" i="1"/>
  <c r="J428" i="1"/>
  <c r="K428" i="1" s="1"/>
  <c r="I428" i="1"/>
  <c r="C428" i="1"/>
  <c r="B428" i="1"/>
  <c r="J427" i="1"/>
  <c r="K427" i="1" s="1"/>
  <c r="I427" i="1"/>
  <c r="C427" i="1"/>
  <c r="B427" i="1"/>
  <c r="J426" i="1"/>
  <c r="K426" i="1" s="1"/>
  <c r="I426" i="1"/>
  <c r="C426" i="1"/>
  <c r="B426" i="1"/>
  <c r="J425" i="1"/>
  <c r="K425" i="1" s="1"/>
  <c r="I425" i="1"/>
  <c r="C425" i="1"/>
  <c r="B425" i="1"/>
  <c r="J424" i="1"/>
  <c r="K424" i="1" s="1"/>
  <c r="I424" i="1"/>
  <c r="C424" i="1"/>
  <c r="B424" i="1"/>
  <c r="J423" i="1"/>
  <c r="K423" i="1" s="1"/>
  <c r="I423" i="1"/>
  <c r="C423" i="1"/>
  <c r="B423" i="1"/>
  <c r="J422" i="1"/>
  <c r="K422" i="1" s="1"/>
  <c r="I422" i="1"/>
  <c r="C422" i="1"/>
  <c r="B422" i="1"/>
  <c r="J421" i="1"/>
  <c r="K421" i="1" s="1"/>
  <c r="I421" i="1"/>
  <c r="C421" i="1"/>
  <c r="B421" i="1"/>
  <c r="J420" i="1"/>
  <c r="K420" i="1" s="1"/>
  <c r="I420" i="1"/>
  <c r="C420" i="1"/>
  <c r="B420" i="1"/>
  <c r="J419" i="1"/>
  <c r="K419" i="1" s="1"/>
  <c r="I419" i="1"/>
  <c r="C419" i="1"/>
  <c r="B419" i="1"/>
  <c r="J418" i="1"/>
  <c r="K418" i="1" s="1"/>
  <c r="I418" i="1"/>
  <c r="C418" i="1"/>
  <c r="B418" i="1"/>
  <c r="J417" i="1"/>
  <c r="K417" i="1" s="1"/>
  <c r="I417" i="1"/>
  <c r="C417" i="1"/>
  <c r="B417" i="1"/>
  <c r="J416" i="1"/>
  <c r="K416" i="1" s="1"/>
  <c r="I416" i="1"/>
  <c r="C416" i="1"/>
  <c r="B416" i="1"/>
  <c r="J415" i="1"/>
  <c r="K415" i="1" s="1"/>
  <c r="I415" i="1"/>
  <c r="C415" i="1"/>
  <c r="B415" i="1"/>
  <c r="J414" i="1"/>
  <c r="K414" i="1" s="1"/>
  <c r="I414" i="1"/>
  <c r="C414" i="1"/>
  <c r="B414" i="1"/>
  <c r="J413" i="1"/>
  <c r="K413" i="1" s="1"/>
  <c r="I413" i="1"/>
  <c r="C413" i="1"/>
  <c r="B413" i="1"/>
  <c r="J412" i="1"/>
  <c r="K412" i="1" s="1"/>
  <c r="I412" i="1"/>
  <c r="C412" i="1"/>
  <c r="B412" i="1"/>
  <c r="J411" i="1"/>
  <c r="K411" i="1" s="1"/>
  <c r="I411" i="1"/>
  <c r="C411" i="1"/>
  <c r="B411" i="1"/>
  <c r="J410" i="1"/>
  <c r="K410" i="1" s="1"/>
  <c r="I410" i="1"/>
  <c r="C410" i="1"/>
  <c r="B410" i="1"/>
  <c r="J409" i="1"/>
  <c r="K409" i="1" s="1"/>
  <c r="I409" i="1"/>
  <c r="C409" i="1"/>
  <c r="B409" i="1"/>
  <c r="J408" i="1"/>
  <c r="K408" i="1" s="1"/>
  <c r="I408" i="1"/>
  <c r="C408" i="1"/>
  <c r="B408" i="1"/>
  <c r="J407" i="1"/>
  <c r="K407" i="1" s="1"/>
  <c r="I407" i="1"/>
  <c r="C407" i="1"/>
  <c r="B407" i="1"/>
  <c r="J406" i="1"/>
  <c r="K406" i="1" s="1"/>
  <c r="I406" i="1"/>
  <c r="C406" i="1"/>
  <c r="B406" i="1"/>
  <c r="J405" i="1"/>
  <c r="K405" i="1" s="1"/>
  <c r="I405" i="1"/>
  <c r="C405" i="1"/>
  <c r="B405" i="1"/>
  <c r="J404" i="1"/>
  <c r="K404" i="1" s="1"/>
  <c r="I404" i="1"/>
  <c r="C404" i="1"/>
  <c r="B404" i="1"/>
  <c r="J403" i="1"/>
  <c r="K403" i="1" s="1"/>
  <c r="I403" i="1"/>
  <c r="C403" i="1"/>
  <c r="B403" i="1"/>
  <c r="J402" i="1"/>
  <c r="K402" i="1" s="1"/>
  <c r="I402" i="1"/>
  <c r="C402" i="1"/>
  <c r="B402" i="1"/>
  <c r="J401" i="1"/>
  <c r="K401" i="1" s="1"/>
  <c r="I401" i="1"/>
  <c r="C401" i="1"/>
  <c r="B401" i="1"/>
  <c r="J400" i="1"/>
  <c r="K400" i="1" s="1"/>
  <c r="I400" i="1"/>
  <c r="C400" i="1"/>
  <c r="B400" i="1"/>
  <c r="J399" i="1"/>
  <c r="K399" i="1" s="1"/>
  <c r="I399" i="1"/>
  <c r="C399" i="1"/>
  <c r="B399" i="1"/>
  <c r="J398" i="1"/>
  <c r="K398" i="1" s="1"/>
  <c r="I398" i="1"/>
  <c r="C398" i="1"/>
  <c r="B398" i="1"/>
  <c r="J397" i="1"/>
  <c r="K397" i="1" s="1"/>
  <c r="I397" i="1"/>
  <c r="C397" i="1"/>
  <c r="B397" i="1"/>
  <c r="J396" i="1"/>
  <c r="K396" i="1" s="1"/>
  <c r="I396" i="1"/>
  <c r="C396" i="1"/>
  <c r="B396" i="1"/>
  <c r="J395" i="1"/>
  <c r="K395" i="1" s="1"/>
  <c r="I395" i="1"/>
  <c r="C395" i="1"/>
  <c r="B395" i="1"/>
  <c r="J394" i="1"/>
  <c r="K394" i="1" s="1"/>
  <c r="I394" i="1"/>
  <c r="C394" i="1"/>
  <c r="B394" i="1"/>
  <c r="J393" i="1"/>
  <c r="K393" i="1" s="1"/>
  <c r="I393" i="1"/>
  <c r="C393" i="1"/>
  <c r="B393" i="1"/>
  <c r="J392" i="1"/>
  <c r="K392" i="1" s="1"/>
  <c r="I392" i="1"/>
  <c r="C392" i="1"/>
  <c r="B392" i="1"/>
  <c r="J391" i="1"/>
  <c r="K391" i="1" s="1"/>
  <c r="I391" i="1"/>
  <c r="C391" i="1"/>
  <c r="B391" i="1"/>
  <c r="J390" i="1"/>
  <c r="K390" i="1" s="1"/>
  <c r="I390" i="1"/>
  <c r="C390" i="1"/>
  <c r="B390" i="1"/>
  <c r="J389" i="1"/>
  <c r="K389" i="1" s="1"/>
  <c r="I389" i="1"/>
  <c r="C389" i="1"/>
  <c r="B389" i="1"/>
  <c r="J388" i="1"/>
  <c r="K388" i="1" s="1"/>
  <c r="I388" i="1"/>
  <c r="C388" i="1"/>
  <c r="B388" i="1"/>
  <c r="J387" i="1"/>
  <c r="K387" i="1" s="1"/>
  <c r="I387" i="1"/>
  <c r="C387" i="1"/>
  <c r="B387" i="1"/>
  <c r="J386" i="1"/>
  <c r="K386" i="1" s="1"/>
  <c r="I386" i="1"/>
  <c r="C386" i="1"/>
  <c r="B386" i="1"/>
  <c r="J385" i="1"/>
  <c r="K385" i="1" s="1"/>
  <c r="I385" i="1"/>
  <c r="C385" i="1"/>
  <c r="B385" i="1"/>
  <c r="J384" i="1"/>
  <c r="K384" i="1" s="1"/>
  <c r="I384" i="1"/>
  <c r="C384" i="1"/>
  <c r="B384" i="1"/>
  <c r="J383" i="1"/>
  <c r="K383" i="1" s="1"/>
  <c r="I383" i="1"/>
  <c r="C383" i="1"/>
  <c r="B383" i="1"/>
  <c r="J382" i="1"/>
  <c r="K382" i="1" s="1"/>
  <c r="I382" i="1"/>
  <c r="C382" i="1"/>
  <c r="B382" i="1"/>
  <c r="J381" i="1"/>
  <c r="K381" i="1" s="1"/>
  <c r="I381" i="1"/>
  <c r="C381" i="1"/>
  <c r="B381" i="1"/>
  <c r="J380" i="1"/>
  <c r="K380" i="1" s="1"/>
  <c r="I380" i="1"/>
  <c r="C380" i="1"/>
  <c r="B380" i="1"/>
  <c r="J379" i="1"/>
  <c r="K379" i="1" s="1"/>
  <c r="I379" i="1"/>
  <c r="C379" i="1"/>
  <c r="B379" i="1"/>
  <c r="J378" i="1"/>
  <c r="K378" i="1" s="1"/>
  <c r="I378" i="1"/>
  <c r="C378" i="1"/>
  <c r="B378" i="1"/>
  <c r="J377" i="1"/>
  <c r="K377" i="1" s="1"/>
  <c r="I377" i="1"/>
  <c r="C377" i="1"/>
  <c r="B377" i="1"/>
  <c r="J376" i="1"/>
  <c r="K376" i="1" s="1"/>
  <c r="I376" i="1"/>
  <c r="C376" i="1"/>
  <c r="B376" i="1"/>
  <c r="J375" i="1"/>
  <c r="K375" i="1" s="1"/>
  <c r="I375" i="1"/>
  <c r="C375" i="1"/>
  <c r="B375" i="1"/>
  <c r="J374" i="1"/>
  <c r="K374" i="1" s="1"/>
  <c r="I374" i="1"/>
  <c r="C374" i="1"/>
  <c r="B374" i="1"/>
  <c r="J373" i="1"/>
  <c r="K373" i="1" s="1"/>
  <c r="I373" i="1"/>
  <c r="C373" i="1"/>
  <c r="B373" i="1"/>
  <c r="J372" i="1"/>
  <c r="K372" i="1" s="1"/>
  <c r="I372" i="1"/>
  <c r="C372" i="1"/>
  <c r="B372" i="1"/>
  <c r="J371" i="1"/>
  <c r="K371" i="1" s="1"/>
  <c r="I371" i="1"/>
  <c r="C371" i="1"/>
  <c r="B371" i="1"/>
  <c r="J370" i="1"/>
  <c r="K370" i="1" s="1"/>
  <c r="I370" i="1"/>
  <c r="C370" i="1"/>
  <c r="B370" i="1"/>
  <c r="J369" i="1"/>
  <c r="K369" i="1" s="1"/>
  <c r="I369" i="1"/>
  <c r="C369" i="1"/>
  <c r="B369" i="1"/>
  <c r="J368" i="1"/>
  <c r="K368" i="1" s="1"/>
  <c r="I368" i="1"/>
  <c r="C368" i="1"/>
  <c r="B368" i="1"/>
  <c r="J367" i="1"/>
  <c r="K367" i="1" s="1"/>
  <c r="I367" i="1"/>
  <c r="C367" i="1"/>
  <c r="B367" i="1"/>
  <c r="J366" i="1"/>
  <c r="K366" i="1" s="1"/>
  <c r="I366" i="1"/>
  <c r="C366" i="1"/>
  <c r="B366" i="1"/>
  <c r="J365" i="1"/>
  <c r="K365" i="1" s="1"/>
  <c r="I365" i="1"/>
  <c r="C365" i="1"/>
  <c r="B365" i="1"/>
  <c r="J364" i="1"/>
  <c r="K364" i="1" s="1"/>
  <c r="I364" i="1"/>
  <c r="C364" i="1"/>
  <c r="B364" i="1"/>
  <c r="J363" i="1"/>
  <c r="K363" i="1" s="1"/>
  <c r="I363" i="1"/>
  <c r="C363" i="1"/>
  <c r="B363" i="1"/>
  <c r="J362" i="1"/>
  <c r="K362" i="1" s="1"/>
  <c r="I362" i="1"/>
  <c r="C362" i="1"/>
  <c r="B362" i="1"/>
  <c r="J361" i="1"/>
  <c r="K361" i="1" s="1"/>
  <c r="I361" i="1"/>
  <c r="C361" i="1"/>
  <c r="B361" i="1"/>
  <c r="J360" i="1"/>
  <c r="K360" i="1" s="1"/>
  <c r="I360" i="1"/>
  <c r="C360" i="1"/>
  <c r="B360" i="1"/>
  <c r="J359" i="1"/>
  <c r="K359" i="1" s="1"/>
  <c r="I359" i="1"/>
  <c r="C359" i="1"/>
  <c r="B359" i="1"/>
  <c r="J358" i="1"/>
  <c r="K358" i="1" s="1"/>
  <c r="I358" i="1"/>
  <c r="C358" i="1"/>
  <c r="B358" i="1"/>
  <c r="J357" i="1"/>
  <c r="K357" i="1" s="1"/>
  <c r="I357" i="1"/>
  <c r="C357" i="1"/>
  <c r="B357" i="1"/>
  <c r="J356" i="1"/>
  <c r="K356" i="1" s="1"/>
  <c r="I356" i="1"/>
  <c r="C356" i="1"/>
  <c r="B356" i="1"/>
  <c r="J355" i="1"/>
  <c r="K355" i="1" s="1"/>
  <c r="I355" i="1"/>
  <c r="C355" i="1"/>
  <c r="B355" i="1"/>
  <c r="J354" i="1"/>
  <c r="K354" i="1" s="1"/>
  <c r="I354" i="1"/>
  <c r="C354" i="1"/>
  <c r="B354" i="1"/>
  <c r="J353" i="1"/>
  <c r="K353" i="1" s="1"/>
  <c r="I353" i="1"/>
  <c r="C353" i="1"/>
  <c r="B353" i="1"/>
  <c r="J352" i="1"/>
  <c r="K352" i="1" s="1"/>
  <c r="I352" i="1"/>
  <c r="C352" i="1"/>
  <c r="B352" i="1"/>
  <c r="J351" i="1"/>
  <c r="K351" i="1" s="1"/>
  <c r="I351" i="1"/>
  <c r="C351" i="1"/>
  <c r="B351" i="1"/>
  <c r="J350" i="1"/>
  <c r="K350" i="1" s="1"/>
  <c r="I350" i="1"/>
  <c r="C350" i="1"/>
  <c r="B350" i="1"/>
  <c r="J349" i="1"/>
  <c r="K349" i="1" s="1"/>
  <c r="I349" i="1"/>
  <c r="C349" i="1"/>
  <c r="B349" i="1"/>
  <c r="J348" i="1"/>
  <c r="K348" i="1" s="1"/>
  <c r="I348" i="1"/>
  <c r="C348" i="1"/>
  <c r="B348" i="1"/>
  <c r="J347" i="1"/>
  <c r="K347" i="1" s="1"/>
  <c r="I347" i="1"/>
  <c r="C347" i="1"/>
  <c r="B347" i="1"/>
  <c r="J346" i="1"/>
  <c r="K346" i="1" s="1"/>
  <c r="I346" i="1"/>
  <c r="C346" i="1"/>
  <c r="B346" i="1"/>
  <c r="J345" i="1"/>
  <c r="K345" i="1" s="1"/>
  <c r="I345" i="1"/>
  <c r="C345" i="1"/>
  <c r="B345" i="1"/>
  <c r="J344" i="1"/>
  <c r="K344" i="1" s="1"/>
  <c r="I344" i="1"/>
  <c r="C344" i="1"/>
  <c r="B344" i="1"/>
  <c r="J343" i="1"/>
  <c r="K343" i="1" s="1"/>
  <c r="I343" i="1"/>
  <c r="C343" i="1"/>
  <c r="B343" i="1"/>
  <c r="J342" i="1"/>
  <c r="K342" i="1" s="1"/>
  <c r="I342" i="1"/>
  <c r="C342" i="1"/>
  <c r="B342" i="1"/>
  <c r="J341" i="1"/>
  <c r="K341" i="1" s="1"/>
  <c r="I341" i="1"/>
  <c r="C341" i="1"/>
  <c r="B341" i="1"/>
  <c r="J340" i="1"/>
  <c r="K340" i="1" s="1"/>
  <c r="I340" i="1"/>
  <c r="C340" i="1"/>
  <c r="B340" i="1"/>
  <c r="J339" i="1"/>
  <c r="K339" i="1" s="1"/>
  <c r="I339" i="1"/>
  <c r="C339" i="1"/>
  <c r="B339" i="1"/>
  <c r="J338" i="1"/>
  <c r="K338" i="1" s="1"/>
  <c r="I338" i="1"/>
  <c r="C338" i="1"/>
  <c r="B338" i="1"/>
  <c r="J337" i="1"/>
  <c r="K337" i="1" s="1"/>
  <c r="I337" i="1"/>
  <c r="C337" i="1"/>
  <c r="B337" i="1"/>
  <c r="J336" i="1"/>
  <c r="K336" i="1" s="1"/>
  <c r="I336" i="1"/>
  <c r="C336" i="1"/>
  <c r="B336" i="1"/>
  <c r="J335" i="1"/>
  <c r="K335" i="1" s="1"/>
  <c r="I335" i="1"/>
  <c r="C335" i="1"/>
  <c r="B335" i="1"/>
  <c r="J334" i="1"/>
  <c r="K334" i="1" s="1"/>
  <c r="I334" i="1"/>
  <c r="C334" i="1"/>
  <c r="B334" i="1"/>
  <c r="J333" i="1"/>
  <c r="K333" i="1" s="1"/>
  <c r="I333" i="1"/>
  <c r="C333" i="1"/>
  <c r="B333" i="1"/>
  <c r="J332" i="1"/>
  <c r="K332" i="1" s="1"/>
  <c r="I332" i="1"/>
  <c r="C332" i="1"/>
  <c r="B332" i="1"/>
  <c r="J331" i="1"/>
  <c r="K331" i="1" s="1"/>
  <c r="I331" i="1"/>
  <c r="C331" i="1"/>
  <c r="B331" i="1"/>
  <c r="J330" i="1"/>
  <c r="K330" i="1" s="1"/>
  <c r="I330" i="1"/>
  <c r="C330" i="1"/>
  <c r="B330" i="1"/>
  <c r="J329" i="1"/>
  <c r="K329" i="1" s="1"/>
  <c r="I329" i="1"/>
  <c r="C329" i="1"/>
  <c r="B329" i="1"/>
  <c r="J328" i="1"/>
  <c r="K328" i="1" s="1"/>
  <c r="I328" i="1"/>
  <c r="C328" i="1"/>
  <c r="B328" i="1"/>
  <c r="J327" i="1"/>
  <c r="K327" i="1" s="1"/>
  <c r="I327" i="1"/>
  <c r="C327" i="1"/>
  <c r="B327" i="1"/>
  <c r="J326" i="1"/>
  <c r="K326" i="1" s="1"/>
  <c r="I326" i="1"/>
  <c r="C326" i="1"/>
  <c r="B326" i="1"/>
  <c r="J325" i="1"/>
  <c r="K325" i="1" s="1"/>
  <c r="I325" i="1"/>
  <c r="C325" i="1"/>
  <c r="B325" i="1"/>
  <c r="J324" i="1"/>
  <c r="K324" i="1" s="1"/>
  <c r="I324" i="1"/>
  <c r="C324" i="1"/>
  <c r="B324" i="1"/>
  <c r="J323" i="1"/>
  <c r="K323" i="1" s="1"/>
  <c r="I323" i="1"/>
  <c r="C323" i="1"/>
  <c r="B323" i="1"/>
  <c r="J322" i="1"/>
  <c r="K322" i="1" s="1"/>
  <c r="I322" i="1"/>
  <c r="C322" i="1"/>
  <c r="B322" i="1"/>
  <c r="J321" i="1"/>
  <c r="K321" i="1" s="1"/>
  <c r="I321" i="1"/>
  <c r="C321" i="1"/>
  <c r="B321" i="1"/>
  <c r="J320" i="1"/>
  <c r="K320" i="1" s="1"/>
  <c r="I320" i="1"/>
  <c r="C320" i="1"/>
  <c r="B320" i="1"/>
  <c r="J319" i="1"/>
  <c r="K319" i="1" s="1"/>
  <c r="I319" i="1"/>
  <c r="C319" i="1"/>
  <c r="B319" i="1"/>
  <c r="J318" i="1"/>
  <c r="K318" i="1" s="1"/>
  <c r="I318" i="1"/>
  <c r="C318" i="1"/>
  <c r="B318" i="1"/>
  <c r="J317" i="1"/>
  <c r="K317" i="1" s="1"/>
  <c r="I317" i="1"/>
  <c r="C317" i="1"/>
  <c r="B317" i="1"/>
  <c r="J316" i="1"/>
  <c r="K316" i="1" s="1"/>
  <c r="I316" i="1"/>
  <c r="C316" i="1"/>
  <c r="B316" i="1"/>
  <c r="J315" i="1"/>
  <c r="K315" i="1" s="1"/>
  <c r="I315" i="1"/>
  <c r="C315" i="1"/>
  <c r="B315" i="1"/>
  <c r="J314" i="1"/>
  <c r="K314" i="1" s="1"/>
  <c r="I314" i="1"/>
  <c r="C314" i="1"/>
  <c r="B314" i="1"/>
  <c r="J313" i="1"/>
  <c r="K313" i="1" s="1"/>
  <c r="I313" i="1"/>
  <c r="C313" i="1"/>
  <c r="B313" i="1"/>
  <c r="J312" i="1"/>
  <c r="K312" i="1" s="1"/>
  <c r="I312" i="1"/>
  <c r="C312" i="1"/>
  <c r="B312" i="1"/>
  <c r="J311" i="1"/>
  <c r="K311" i="1" s="1"/>
  <c r="I311" i="1"/>
  <c r="C311" i="1"/>
  <c r="B311" i="1"/>
  <c r="J310" i="1"/>
  <c r="K310" i="1" s="1"/>
  <c r="I310" i="1"/>
  <c r="C310" i="1"/>
  <c r="B310" i="1"/>
  <c r="J309" i="1"/>
  <c r="K309" i="1" s="1"/>
  <c r="I309" i="1"/>
  <c r="C309" i="1"/>
  <c r="B309" i="1"/>
  <c r="J308" i="1"/>
  <c r="K308" i="1" s="1"/>
  <c r="I308" i="1"/>
  <c r="C308" i="1"/>
  <c r="B308" i="1"/>
  <c r="J307" i="1"/>
  <c r="K307" i="1" s="1"/>
  <c r="I307" i="1"/>
  <c r="C307" i="1"/>
  <c r="B307" i="1"/>
  <c r="J306" i="1"/>
  <c r="K306" i="1" s="1"/>
  <c r="I306" i="1"/>
  <c r="C306" i="1"/>
  <c r="B306" i="1"/>
  <c r="J305" i="1"/>
  <c r="K305" i="1" s="1"/>
  <c r="I305" i="1"/>
  <c r="C305" i="1"/>
  <c r="B305" i="1"/>
  <c r="J304" i="1"/>
  <c r="K304" i="1" s="1"/>
  <c r="I304" i="1"/>
  <c r="C304" i="1"/>
  <c r="B304" i="1"/>
  <c r="J303" i="1"/>
  <c r="K303" i="1" s="1"/>
  <c r="I303" i="1"/>
  <c r="C303" i="1"/>
  <c r="B303" i="1"/>
  <c r="J302" i="1"/>
  <c r="K302" i="1" s="1"/>
  <c r="I302" i="1"/>
  <c r="C302" i="1"/>
  <c r="B302" i="1"/>
  <c r="J301" i="1"/>
  <c r="K301" i="1" s="1"/>
  <c r="I301" i="1"/>
  <c r="C301" i="1"/>
  <c r="B301" i="1"/>
  <c r="J300" i="1"/>
  <c r="K300" i="1" s="1"/>
  <c r="I300" i="1"/>
  <c r="C300" i="1"/>
  <c r="B300" i="1"/>
  <c r="J299" i="1"/>
  <c r="K299" i="1" s="1"/>
  <c r="I299" i="1"/>
  <c r="C299" i="1"/>
  <c r="B299" i="1"/>
  <c r="J298" i="1"/>
  <c r="K298" i="1" s="1"/>
  <c r="I298" i="1"/>
  <c r="C298" i="1"/>
  <c r="B298" i="1"/>
  <c r="J297" i="1"/>
  <c r="K297" i="1" s="1"/>
  <c r="I297" i="1"/>
  <c r="C297" i="1"/>
  <c r="B297" i="1"/>
  <c r="J296" i="1"/>
  <c r="K296" i="1" s="1"/>
  <c r="I296" i="1"/>
  <c r="C296" i="1"/>
  <c r="B296" i="1"/>
  <c r="J295" i="1"/>
  <c r="K295" i="1" s="1"/>
  <c r="I295" i="1"/>
  <c r="C295" i="1"/>
  <c r="B295" i="1"/>
  <c r="J294" i="1"/>
  <c r="K294" i="1" s="1"/>
  <c r="I294" i="1"/>
  <c r="C294" i="1"/>
  <c r="B294" i="1"/>
  <c r="J293" i="1"/>
  <c r="K293" i="1" s="1"/>
  <c r="I293" i="1"/>
  <c r="C293" i="1"/>
  <c r="B293" i="1"/>
  <c r="J292" i="1"/>
  <c r="K292" i="1" s="1"/>
  <c r="I292" i="1"/>
  <c r="C292" i="1"/>
  <c r="B292" i="1"/>
  <c r="J291" i="1"/>
  <c r="K291" i="1" s="1"/>
  <c r="I291" i="1"/>
  <c r="C291" i="1"/>
  <c r="B291" i="1"/>
  <c r="J290" i="1"/>
  <c r="K290" i="1" s="1"/>
  <c r="I290" i="1"/>
  <c r="C290" i="1"/>
  <c r="B290" i="1"/>
  <c r="J289" i="1"/>
  <c r="K289" i="1" s="1"/>
  <c r="I289" i="1"/>
  <c r="C289" i="1"/>
  <c r="B289" i="1"/>
  <c r="J288" i="1"/>
  <c r="K288" i="1" s="1"/>
  <c r="I288" i="1"/>
  <c r="C288" i="1"/>
  <c r="B288" i="1"/>
  <c r="J287" i="1"/>
  <c r="K287" i="1" s="1"/>
  <c r="I287" i="1"/>
  <c r="C287" i="1"/>
  <c r="B287" i="1"/>
  <c r="J286" i="1"/>
  <c r="K286" i="1" s="1"/>
  <c r="I286" i="1"/>
  <c r="C286" i="1"/>
  <c r="B286" i="1"/>
  <c r="J285" i="1"/>
  <c r="K285" i="1" s="1"/>
  <c r="I285" i="1"/>
  <c r="C285" i="1"/>
  <c r="B285" i="1"/>
  <c r="J284" i="1"/>
  <c r="K284" i="1" s="1"/>
  <c r="I284" i="1"/>
  <c r="C284" i="1"/>
  <c r="B284" i="1"/>
  <c r="J283" i="1"/>
  <c r="K283" i="1" s="1"/>
  <c r="I283" i="1"/>
  <c r="C283" i="1"/>
  <c r="B283" i="1"/>
  <c r="J282" i="1"/>
  <c r="K282" i="1" s="1"/>
  <c r="I282" i="1"/>
  <c r="C282" i="1"/>
  <c r="B282" i="1"/>
  <c r="J281" i="1"/>
  <c r="K281" i="1" s="1"/>
  <c r="I281" i="1"/>
  <c r="C281" i="1"/>
  <c r="B281" i="1"/>
  <c r="J280" i="1"/>
  <c r="K280" i="1" s="1"/>
  <c r="I280" i="1"/>
  <c r="C280" i="1"/>
  <c r="B280" i="1"/>
  <c r="J279" i="1"/>
  <c r="K279" i="1" s="1"/>
  <c r="I279" i="1"/>
  <c r="C279" i="1"/>
  <c r="B279" i="1"/>
  <c r="J278" i="1"/>
  <c r="K278" i="1" s="1"/>
  <c r="I278" i="1"/>
  <c r="C278" i="1"/>
  <c r="B278" i="1"/>
  <c r="J277" i="1"/>
  <c r="K277" i="1" s="1"/>
  <c r="I277" i="1"/>
  <c r="C277" i="1"/>
  <c r="B277" i="1"/>
  <c r="J276" i="1"/>
  <c r="K276" i="1" s="1"/>
  <c r="I276" i="1"/>
  <c r="C276" i="1"/>
  <c r="B276" i="1"/>
  <c r="J275" i="1"/>
  <c r="K275" i="1" s="1"/>
  <c r="I275" i="1"/>
  <c r="C275" i="1"/>
  <c r="B275" i="1"/>
  <c r="J274" i="1"/>
  <c r="K274" i="1" s="1"/>
  <c r="I274" i="1"/>
  <c r="C274" i="1"/>
  <c r="B274" i="1"/>
  <c r="J273" i="1"/>
  <c r="K273" i="1" s="1"/>
  <c r="I273" i="1"/>
  <c r="C273" i="1"/>
  <c r="B273" i="1"/>
  <c r="J272" i="1"/>
  <c r="K272" i="1" s="1"/>
  <c r="I272" i="1"/>
  <c r="C272" i="1"/>
  <c r="B272" i="1"/>
  <c r="J271" i="1"/>
  <c r="K271" i="1" s="1"/>
  <c r="I271" i="1"/>
  <c r="C271" i="1"/>
  <c r="B271" i="1"/>
  <c r="J270" i="1"/>
  <c r="K270" i="1" s="1"/>
  <c r="I270" i="1"/>
  <c r="C270" i="1"/>
  <c r="B270" i="1"/>
  <c r="J269" i="1"/>
  <c r="K269" i="1" s="1"/>
  <c r="I269" i="1"/>
  <c r="C269" i="1"/>
  <c r="B269" i="1"/>
  <c r="J268" i="1"/>
  <c r="K268" i="1" s="1"/>
  <c r="I268" i="1"/>
  <c r="C268" i="1"/>
  <c r="B268" i="1"/>
  <c r="J267" i="1"/>
  <c r="K267" i="1" s="1"/>
  <c r="I267" i="1"/>
  <c r="C267" i="1"/>
  <c r="B267" i="1"/>
  <c r="J266" i="1"/>
  <c r="K266" i="1" s="1"/>
  <c r="I266" i="1"/>
  <c r="C266" i="1"/>
  <c r="B266" i="1"/>
  <c r="J265" i="1"/>
  <c r="K265" i="1" s="1"/>
  <c r="I265" i="1"/>
  <c r="C265" i="1"/>
  <c r="B265" i="1"/>
  <c r="J264" i="1"/>
  <c r="K264" i="1" s="1"/>
  <c r="I264" i="1"/>
  <c r="C264" i="1"/>
  <c r="B264" i="1"/>
  <c r="J263" i="1"/>
  <c r="K263" i="1" s="1"/>
  <c r="I263" i="1"/>
  <c r="C263" i="1"/>
  <c r="B263" i="1"/>
  <c r="J262" i="1"/>
  <c r="K262" i="1" s="1"/>
  <c r="I262" i="1"/>
  <c r="C262" i="1"/>
  <c r="B262" i="1"/>
  <c r="J261" i="1"/>
  <c r="K261" i="1" s="1"/>
  <c r="I261" i="1"/>
  <c r="C261" i="1"/>
  <c r="B261" i="1"/>
  <c r="J260" i="1"/>
  <c r="K260" i="1" s="1"/>
  <c r="I260" i="1"/>
  <c r="C260" i="1"/>
  <c r="B260" i="1"/>
  <c r="J259" i="1"/>
  <c r="K259" i="1" s="1"/>
  <c r="I259" i="1"/>
  <c r="C259" i="1"/>
  <c r="B259" i="1"/>
  <c r="J258" i="1"/>
  <c r="K258" i="1" s="1"/>
  <c r="I258" i="1"/>
  <c r="C258" i="1"/>
  <c r="B258" i="1"/>
  <c r="J257" i="1"/>
  <c r="K257" i="1" s="1"/>
  <c r="I257" i="1"/>
  <c r="C257" i="1"/>
  <c r="B257" i="1"/>
  <c r="J256" i="1"/>
  <c r="K256" i="1" s="1"/>
  <c r="I256" i="1"/>
  <c r="C256" i="1"/>
  <c r="B256" i="1"/>
  <c r="J255" i="1"/>
  <c r="K255" i="1" s="1"/>
  <c r="I255" i="1"/>
  <c r="C255" i="1"/>
  <c r="B255" i="1"/>
  <c r="J254" i="1"/>
  <c r="K254" i="1" s="1"/>
  <c r="I254" i="1"/>
  <c r="C254" i="1"/>
  <c r="B254" i="1"/>
  <c r="J253" i="1"/>
  <c r="K253" i="1" s="1"/>
  <c r="I253" i="1"/>
  <c r="C253" i="1"/>
  <c r="B253" i="1"/>
  <c r="J252" i="1"/>
  <c r="K252" i="1" s="1"/>
  <c r="I252" i="1"/>
  <c r="C252" i="1"/>
  <c r="B252" i="1"/>
  <c r="J251" i="1"/>
  <c r="K251" i="1" s="1"/>
  <c r="I251" i="1"/>
  <c r="C251" i="1"/>
  <c r="B251" i="1"/>
  <c r="J250" i="1"/>
  <c r="K250" i="1" s="1"/>
  <c r="I250" i="1"/>
  <c r="C250" i="1"/>
  <c r="B250" i="1"/>
  <c r="J249" i="1"/>
  <c r="K249" i="1" s="1"/>
  <c r="I249" i="1"/>
  <c r="C249" i="1"/>
  <c r="B249" i="1"/>
  <c r="J248" i="1"/>
  <c r="K248" i="1" s="1"/>
  <c r="I248" i="1"/>
  <c r="C248" i="1"/>
  <c r="B248" i="1"/>
  <c r="J247" i="1"/>
  <c r="K247" i="1" s="1"/>
  <c r="I247" i="1"/>
  <c r="C247" i="1"/>
  <c r="B247" i="1"/>
  <c r="J246" i="1"/>
  <c r="K246" i="1" s="1"/>
  <c r="I246" i="1"/>
  <c r="C246" i="1"/>
  <c r="B246" i="1"/>
  <c r="J245" i="1"/>
  <c r="K245" i="1" s="1"/>
  <c r="I245" i="1"/>
  <c r="C245" i="1"/>
  <c r="B245" i="1"/>
  <c r="J244" i="1"/>
  <c r="K244" i="1" s="1"/>
  <c r="I244" i="1"/>
  <c r="C244" i="1"/>
  <c r="B244" i="1"/>
  <c r="J243" i="1"/>
  <c r="K243" i="1" s="1"/>
  <c r="I243" i="1"/>
  <c r="C243" i="1"/>
  <c r="B243" i="1"/>
  <c r="J242" i="1"/>
  <c r="K242" i="1" s="1"/>
  <c r="I242" i="1"/>
  <c r="C242" i="1"/>
  <c r="B242" i="1"/>
  <c r="J241" i="1"/>
  <c r="K241" i="1" s="1"/>
  <c r="I241" i="1"/>
  <c r="C241" i="1"/>
  <c r="B241" i="1"/>
  <c r="J240" i="1"/>
  <c r="K240" i="1" s="1"/>
  <c r="I240" i="1"/>
  <c r="C240" i="1"/>
  <c r="B240" i="1"/>
  <c r="J239" i="1"/>
  <c r="K239" i="1" s="1"/>
  <c r="I239" i="1"/>
  <c r="C239" i="1"/>
  <c r="B239" i="1"/>
  <c r="J238" i="1"/>
  <c r="K238" i="1" s="1"/>
  <c r="I238" i="1"/>
  <c r="C238" i="1"/>
  <c r="B238" i="1"/>
  <c r="J237" i="1"/>
  <c r="K237" i="1" s="1"/>
  <c r="I237" i="1"/>
  <c r="C237" i="1"/>
  <c r="B237" i="1"/>
  <c r="J236" i="1"/>
  <c r="K236" i="1" s="1"/>
  <c r="I236" i="1"/>
  <c r="C236" i="1"/>
  <c r="B236" i="1"/>
  <c r="J235" i="1"/>
  <c r="K235" i="1" s="1"/>
  <c r="I235" i="1"/>
  <c r="C235" i="1"/>
  <c r="B235" i="1"/>
  <c r="J234" i="1"/>
  <c r="K234" i="1" s="1"/>
  <c r="I234" i="1"/>
  <c r="C234" i="1"/>
  <c r="B234" i="1"/>
  <c r="J233" i="1"/>
  <c r="K233" i="1" s="1"/>
  <c r="I233" i="1"/>
  <c r="C233" i="1"/>
  <c r="B233" i="1"/>
  <c r="J232" i="1"/>
  <c r="K232" i="1" s="1"/>
  <c r="I232" i="1"/>
  <c r="C232" i="1"/>
  <c r="B232" i="1"/>
  <c r="J231" i="1"/>
  <c r="K231" i="1" s="1"/>
  <c r="I231" i="1"/>
  <c r="C231" i="1"/>
  <c r="B231" i="1"/>
  <c r="J230" i="1"/>
  <c r="K230" i="1" s="1"/>
  <c r="I230" i="1"/>
  <c r="C230" i="1"/>
  <c r="B230" i="1"/>
  <c r="J229" i="1"/>
  <c r="K229" i="1" s="1"/>
  <c r="I229" i="1"/>
  <c r="C229" i="1"/>
  <c r="B229" i="1"/>
  <c r="J228" i="1"/>
  <c r="K228" i="1" s="1"/>
  <c r="I228" i="1"/>
  <c r="C228" i="1"/>
  <c r="B228" i="1"/>
  <c r="J227" i="1"/>
  <c r="K227" i="1" s="1"/>
  <c r="I227" i="1"/>
  <c r="C227" i="1"/>
  <c r="B227" i="1"/>
  <c r="J226" i="1"/>
  <c r="K226" i="1" s="1"/>
  <c r="I226" i="1"/>
  <c r="C226" i="1"/>
  <c r="B226" i="1"/>
  <c r="J225" i="1"/>
  <c r="K225" i="1" s="1"/>
  <c r="I225" i="1"/>
  <c r="C225" i="1"/>
  <c r="B225" i="1"/>
  <c r="J224" i="1"/>
  <c r="K224" i="1" s="1"/>
  <c r="I224" i="1"/>
  <c r="C224" i="1"/>
  <c r="B224" i="1"/>
  <c r="J223" i="1"/>
  <c r="K223" i="1" s="1"/>
  <c r="I223" i="1"/>
  <c r="C223" i="1"/>
  <c r="B223" i="1"/>
  <c r="J222" i="1"/>
  <c r="K222" i="1" s="1"/>
  <c r="I222" i="1"/>
  <c r="C222" i="1"/>
  <c r="B222" i="1"/>
  <c r="J221" i="1"/>
  <c r="K221" i="1" s="1"/>
  <c r="I221" i="1"/>
  <c r="C221" i="1"/>
  <c r="B221" i="1"/>
  <c r="J220" i="1"/>
  <c r="K220" i="1" s="1"/>
  <c r="I220" i="1"/>
  <c r="C220" i="1"/>
  <c r="B220" i="1"/>
  <c r="J219" i="1"/>
  <c r="K219" i="1" s="1"/>
  <c r="I219" i="1"/>
  <c r="C219" i="1"/>
  <c r="B219" i="1"/>
  <c r="J218" i="1"/>
  <c r="K218" i="1" s="1"/>
  <c r="I218" i="1"/>
  <c r="C218" i="1"/>
  <c r="B218" i="1"/>
  <c r="J217" i="1"/>
  <c r="K217" i="1" s="1"/>
  <c r="I217" i="1"/>
  <c r="C217" i="1"/>
  <c r="B217" i="1"/>
  <c r="J216" i="1"/>
  <c r="K216" i="1" s="1"/>
  <c r="I216" i="1"/>
  <c r="C216" i="1"/>
  <c r="B216" i="1"/>
  <c r="J215" i="1"/>
  <c r="K215" i="1" s="1"/>
  <c r="I215" i="1"/>
  <c r="C215" i="1"/>
  <c r="B215" i="1"/>
  <c r="J214" i="1"/>
  <c r="K214" i="1" s="1"/>
  <c r="I214" i="1"/>
  <c r="C214" i="1"/>
  <c r="B214" i="1"/>
  <c r="J213" i="1"/>
  <c r="K213" i="1" s="1"/>
  <c r="I213" i="1"/>
  <c r="C213" i="1"/>
  <c r="B213" i="1"/>
  <c r="J212" i="1"/>
  <c r="K212" i="1" s="1"/>
  <c r="I212" i="1"/>
  <c r="C212" i="1"/>
  <c r="B212" i="1"/>
  <c r="J211" i="1"/>
  <c r="K211" i="1" s="1"/>
  <c r="I211" i="1"/>
  <c r="C211" i="1"/>
  <c r="B211" i="1"/>
  <c r="J210" i="1" l="1"/>
  <c r="K210" i="1" s="1"/>
  <c r="I210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J202" i="1"/>
  <c r="K202" i="1" s="1"/>
  <c r="I202" i="1"/>
  <c r="C202" i="1"/>
  <c r="B202" i="1"/>
  <c r="J201" i="1"/>
  <c r="K201" i="1" s="1"/>
  <c r="I201" i="1"/>
  <c r="C201" i="1"/>
  <c r="B201" i="1"/>
  <c r="J200" i="1"/>
  <c r="K200" i="1" s="1"/>
  <c r="I200" i="1"/>
  <c r="C200" i="1"/>
  <c r="B200" i="1"/>
  <c r="J199" i="1"/>
  <c r="K199" i="1" s="1"/>
  <c r="I199" i="1"/>
  <c r="C199" i="1"/>
  <c r="B199" i="1"/>
  <c r="J198" i="1"/>
  <c r="K198" i="1" s="1"/>
  <c r="I198" i="1"/>
  <c r="C198" i="1"/>
  <c r="B198" i="1"/>
  <c r="J197" i="1"/>
  <c r="K197" i="1" s="1"/>
  <c r="I197" i="1"/>
  <c r="C197" i="1"/>
  <c r="B197" i="1"/>
  <c r="J196" i="1"/>
  <c r="K196" i="1" s="1"/>
  <c r="I196" i="1"/>
  <c r="C196" i="1"/>
  <c r="B196" i="1"/>
  <c r="J195" i="1"/>
  <c r="K195" i="1" s="1"/>
  <c r="I195" i="1"/>
  <c r="C195" i="1"/>
  <c r="B195" i="1"/>
  <c r="J194" i="1"/>
  <c r="K194" i="1" s="1"/>
  <c r="I194" i="1"/>
  <c r="C194" i="1"/>
  <c r="B194" i="1"/>
  <c r="J193" i="1"/>
  <c r="K193" i="1" s="1"/>
  <c r="I193" i="1"/>
  <c r="C193" i="1"/>
  <c r="B193" i="1"/>
  <c r="J192" i="1"/>
  <c r="K192" i="1" s="1"/>
  <c r="I192" i="1"/>
  <c r="C192" i="1"/>
  <c r="B192" i="1"/>
  <c r="J191" i="1"/>
  <c r="K191" i="1" s="1"/>
  <c r="I191" i="1"/>
  <c r="C191" i="1"/>
  <c r="B191" i="1"/>
  <c r="J190" i="1"/>
  <c r="K190" i="1" s="1"/>
  <c r="I190" i="1"/>
  <c r="C190" i="1"/>
  <c r="B190" i="1"/>
  <c r="J189" i="1"/>
  <c r="K189" i="1" s="1"/>
  <c r="I189" i="1"/>
  <c r="C189" i="1"/>
  <c r="B189" i="1"/>
  <c r="J188" i="1"/>
  <c r="K188" i="1" s="1"/>
  <c r="I188" i="1"/>
  <c r="C188" i="1"/>
  <c r="B188" i="1"/>
  <c r="J187" i="1"/>
  <c r="K187" i="1" s="1"/>
  <c r="I187" i="1"/>
  <c r="C187" i="1"/>
  <c r="B187" i="1"/>
  <c r="J186" i="1"/>
  <c r="K186" i="1" s="1"/>
  <c r="I186" i="1"/>
  <c r="C186" i="1"/>
  <c r="B186" i="1"/>
  <c r="J185" i="1"/>
  <c r="K185" i="1" s="1"/>
  <c r="I185" i="1"/>
  <c r="C185" i="1"/>
  <c r="B185" i="1"/>
  <c r="J184" i="1"/>
  <c r="K184" i="1" s="1"/>
  <c r="I184" i="1"/>
  <c r="C184" i="1"/>
  <c r="B184" i="1"/>
  <c r="J183" i="1"/>
  <c r="K183" i="1" s="1"/>
  <c r="I183" i="1"/>
  <c r="C183" i="1"/>
  <c r="B183" i="1"/>
  <c r="J182" i="1"/>
  <c r="K182" i="1" s="1"/>
  <c r="I182" i="1"/>
  <c r="C182" i="1"/>
  <c r="B182" i="1"/>
  <c r="J181" i="1"/>
  <c r="K181" i="1" s="1"/>
  <c r="I181" i="1"/>
  <c r="C181" i="1"/>
  <c r="B181" i="1"/>
  <c r="J180" i="1"/>
  <c r="K180" i="1" s="1"/>
  <c r="I180" i="1"/>
  <c r="C180" i="1"/>
  <c r="B180" i="1"/>
  <c r="J179" i="1"/>
  <c r="K179" i="1" s="1"/>
  <c r="I179" i="1"/>
  <c r="C179" i="1"/>
  <c r="B179" i="1"/>
  <c r="J178" i="1"/>
  <c r="K178" i="1" s="1"/>
  <c r="I178" i="1"/>
  <c r="C178" i="1"/>
  <c r="B178" i="1"/>
  <c r="J177" i="1"/>
  <c r="K177" i="1" s="1"/>
  <c r="I177" i="1"/>
  <c r="C177" i="1"/>
  <c r="B177" i="1"/>
  <c r="J176" i="1"/>
  <c r="K176" i="1" s="1"/>
  <c r="I176" i="1"/>
  <c r="C176" i="1"/>
  <c r="B176" i="1"/>
  <c r="J175" i="1"/>
  <c r="K175" i="1" s="1"/>
  <c r="I175" i="1"/>
  <c r="C175" i="1"/>
  <c r="B175" i="1"/>
  <c r="J174" i="1"/>
  <c r="K174" i="1" s="1"/>
  <c r="I174" i="1"/>
  <c r="C174" i="1"/>
  <c r="B174" i="1"/>
  <c r="J173" i="1"/>
  <c r="K173" i="1" s="1"/>
  <c r="I173" i="1"/>
  <c r="C173" i="1"/>
  <c r="B173" i="1"/>
  <c r="J172" i="1"/>
  <c r="K172" i="1" s="1"/>
  <c r="I172" i="1"/>
  <c r="C172" i="1"/>
  <c r="B172" i="1"/>
  <c r="J171" i="1"/>
  <c r="K171" i="1" s="1"/>
  <c r="I171" i="1"/>
  <c r="C171" i="1"/>
  <c r="B171" i="1"/>
  <c r="J170" i="1"/>
  <c r="K170" i="1" s="1"/>
  <c r="I170" i="1"/>
  <c r="C170" i="1"/>
  <c r="B170" i="1"/>
  <c r="J169" i="1"/>
  <c r="K169" i="1" s="1"/>
  <c r="I169" i="1"/>
  <c r="C169" i="1"/>
  <c r="B169" i="1"/>
  <c r="J168" i="1"/>
  <c r="K168" i="1" s="1"/>
  <c r="I168" i="1"/>
  <c r="C168" i="1"/>
  <c r="B168" i="1"/>
  <c r="J167" i="1"/>
  <c r="K167" i="1" s="1"/>
  <c r="I167" i="1"/>
  <c r="C167" i="1"/>
  <c r="B167" i="1"/>
  <c r="J166" i="1"/>
  <c r="K166" i="1" s="1"/>
  <c r="I166" i="1"/>
  <c r="C166" i="1"/>
  <c r="B166" i="1"/>
  <c r="J165" i="1"/>
  <c r="K165" i="1" s="1"/>
  <c r="I165" i="1"/>
  <c r="C165" i="1"/>
  <c r="B165" i="1"/>
  <c r="J164" i="1"/>
  <c r="K164" i="1" s="1"/>
  <c r="I164" i="1"/>
  <c r="C164" i="1"/>
  <c r="B164" i="1"/>
  <c r="J163" i="1"/>
  <c r="K163" i="1" s="1"/>
  <c r="I163" i="1"/>
  <c r="C163" i="1"/>
  <c r="B163" i="1"/>
  <c r="J162" i="1"/>
  <c r="K162" i="1" s="1"/>
  <c r="I162" i="1"/>
  <c r="C162" i="1"/>
  <c r="B162" i="1"/>
  <c r="J161" i="1"/>
  <c r="K161" i="1" s="1"/>
  <c r="I161" i="1"/>
  <c r="C161" i="1"/>
  <c r="B161" i="1"/>
  <c r="J160" i="1"/>
  <c r="K160" i="1" s="1"/>
  <c r="I160" i="1"/>
  <c r="C160" i="1"/>
  <c r="B160" i="1"/>
  <c r="J159" i="1"/>
  <c r="K159" i="1" s="1"/>
  <c r="I159" i="1"/>
  <c r="C159" i="1"/>
  <c r="B159" i="1"/>
  <c r="J158" i="1"/>
  <c r="K158" i="1" s="1"/>
  <c r="I158" i="1"/>
  <c r="C158" i="1"/>
  <c r="B158" i="1"/>
  <c r="J157" i="1"/>
  <c r="K157" i="1" s="1"/>
  <c r="I157" i="1"/>
  <c r="C157" i="1"/>
  <c r="B157" i="1"/>
  <c r="J156" i="1"/>
  <c r="K156" i="1" s="1"/>
  <c r="I156" i="1"/>
  <c r="C156" i="1"/>
  <c r="B156" i="1"/>
  <c r="J155" i="1"/>
  <c r="K155" i="1" s="1"/>
  <c r="I155" i="1"/>
  <c r="C155" i="1"/>
  <c r="B155" i="1"/>
  <c r="J154" i="1"/>
  <c r="K154" i="1" s="1"/>
  <c r="I154" i="1"/>
  <c r="C154" i="1"/>
  <c r="B154" i="1"/>
  <c r="J153" i="1"/>
  <c r="K153" i="1" s="1"/>
  <c r="I153" i="1"/>
  <c r="C153" i="1"/>
  <c r="B153" i="1"/>
  <c r="J152" i="1"/>
  <c r="K152" i="1" s="1"/>
  <c r="I152" i="1"/>
  <c r="C152" i="1"/>
  <c r="B152" i="1"/>
  <c r="J151" i="1"/>
  <c r="K151" i="1" s="1"/>
  <c r="I151" i="1"/>
  <c r="C151" i="1"/>
  <c r="B151" i="1"/>
  <c r="J150" i="1"/>
  <c r="K150" i="1" s="1"/>
  <c r="I150" i="1"/>
  <c r="C150" i="1"/>
  <c r="B150" i="1"/>
  <c r="J149" i="1"/>
  <c r="K149" i="1" s="1"/>
  <c r="I149" i="1"/>
  <c r="C149" i="1"/>
  <c r="B149" i="1"/>
  <c r="J148" i="1"/>
  <c r="K148" i="1" s="1"/>
  <c r="I148" i="1"/>
  <c r="C148" i="1"/>
  <c r="B148" i="1"/>
  <c r="J147" i="1"/>
  <c r="K147" i="1" s="1"/>
  <c r="I147" i="1"/>
  <c r="C147" i="1"/>
  <c r="B147" i="1"/>
  <c r="J146" i="1"/>
  <c r="K146" i="1" s="1"/>
  <c r="I146" i="1"/>
  <c r="C146" i="1"/>
  <c r="B146" i="1"/>
  <c r="J145" i="1"/>
  <c r="K145" i="1" s="1"/>
  <c r="I145" i="1"/>
  <c r="C145" i="1"/>
  <c r="B145" i="1"/>
  <c r="J144" i="1"/>
  <c r="K144" i="1" s="1"/>
  <c r="I144" i="1"/>
  <c r="C144" i="1"/>
  <c r="B144" i="1"/>
  <c r="J143" i="1"/>
  <c r="K143" i="1" s="1"/>
  <c r="I143" i="1"/>
  <c r="C143" i="1"/>
  <c r="B143" i="1"/>
  <c r="J142" i="1"/>
  <c r="K142" i="1" s="1"/>
  <c r="I142" i="1"/>
  <c r="C142" i="1"/>
  <c r="B142" i="1"/>
  <c r="J141" i="1"/>
  <c r="K141" i="1" s="1"/>
  <c r="I141" i="1"/>
  <c r="C141" i="1"/>
  <c r="B141" i="1"/>
  <c r="J140" i="1"/>
  <c r="K140" i="1" s="1"/>
  <c r="I140" i="1"/>
  <c r="C140" i="1"/>
  <c r="B140" i="1"/>
  <c r="J139" i="1"/>
  <c r="K139" i="1" s="1"/>
  <c r="I139" i="1"/>
  <c r="C139" i="1"/>
  <c r="B139" i="1"/>
  <c r="J138" i="1"/>
  <c r="K138" i="1" s="1"/>
  <c r="I138" i="1"/>
  <c r="C138" i="1"/>
  <c r="B138" i="1"/>
  <c r="J137" i="1"/>
  <c r="K137" i="1" s="1"/>
  <c r="I137" i="1"/>
  <c r="C137" i="1"/>
  <c r="B137" i="1"/>
  <c r="J136" i="1"/>
  <c r="K136" i="1" s="1"/>
  <c r="I136" i="1"/>
  <c r="C136" i="1"/>
  <c r="B136" i="1"/>
  <c r="J135" i="1"/>
  <c r="K135" i="1" s="1"/>
  <c r="I135" i="1"/>
  <c r="C135" i="1"/>
  <c r="B135" i="1"/>
  <c r="J134" i="1"/>
  <c r="K134" i="1" s="1"/>
  <c r="I134" i="1"/>
  <c r="C134" i="1"/>
  <c r="B134" i="1"/>
  <c r="J133" i="1"/>
  <c r="K133" i="1" s="1"/>
  <c r="I133" i="1"/>
  <c r="C133" i="1"/>
  <c r="B133" i="1"/>
  <c r="J132" i="1"/>
  <c r="K132" i="1" s="1"/>
  <c r="I132" i="1"/>
  <c r="C132" i="1"/>
  <c r="B132" i="1"/>
  <c r="J131" i="1"/>
  <c r="K131" i="1" s="1"/>
  <c r="I131" i="1"/>
  <c r="C131" i="1"/>
  <c r="B131" i="1"/>
  <c r="J130" i="1"/>
  <c r="K130" i="1" s="1"/>
  <c r="I130" i="1"/>
  <c r="C130" i="1"/>
  <c r="B130" i="1"/>
  <c r="J129" i="1"/>
  <c r="K129" i="1" s="1"/>
  <c r="I129" i="1"/>
  <c r="C129" i="1"/>
  <c r="B129" i="1"/>
  <c r="J128" i="1"/>
  <c r="K128" i="1" s="1"/>
  <c r="I128" i="1"/>
  <c r="C128" i="1"/>
  <c r="B128" i="1"/>
  <c r="J127" i="1"/>
  <c r="K127" i="1" s="1"/>
  <c r="I127" i="1"/>
  <c r="C127" i="1"/>
  <c r="B127" i="1"/>
  <c r="J126" i="1"/>
  <c r="K126" i="1" s="1"/>
  <c r="I126" i="1"/>
  <c r="C126" i="1"/>
  <c r="B126" i="1"/>
  <c r="J125" i="1"/>
  <c r="K125" i="1" s="1"/>
  <c r="I125" i="1"/>
  <c r="C125" i="1"/>
  <c r="B125" i="1"/>
  <c r="J124" i="1"/>
  <c r="K124" i="1" s="1"/>
  <c r="I124" i="1"/>
  <c r="C124" i="1"/>
  <c r="B124" i="1"/>
  <c r="J123" i="1"/>
  <c r="K123" i="1" s="1"/>
  <c r="I123" i="1"/>
  <c r="C123" i="1"/>
  <c r="B123" i="1"/>
  <c r="J122" i="1"/>
  <c r="K122" i="1" s="1"/>
  <c r="I122" i="1"/>
  <c r="C122" i="1"/>
  <c r="B122" i="1"/>
  <c r="J121" i="1"/>
  <c r="K121" i="1" s="1"/>
  <c r="I121" i="1"/>
  <c r="C121" i="1"/>
  <c r="B121" i="1"/>
  <c r="J120" i="1"/>
  <c r="K120" i="1" s="1"/>
  <c r="I120" i="1"/>
  <c r="C120" i="1"/>
  <c r="B120" i="1"/>
  <c r="J119" i="1"/>
  <c r="K119" i="1" s="1"/>
  <c r="I119" i="1"/>
  <c r="C119" i="1"/>
  <c r="B119" i="1"/>
  <c r="J118" i="1"/>
  <c r="K118" i="1" s="1"/>
  <c r="I118" i="1"/>
  <c r="C118" i="1"/>
  <c r="B118" i="1"/>
  <c r="J117" i="1"/>
  <c r="K117" i="1" s="1"/>
  <c r="I117" i="1"/>
  <c r="C117" i="1"/>
  <c r="B117" i="1"/>
  <c r="J116" i="1"/>
  <c r="K116" i="1" s="1"/>
  <c r="I116" i="1"/>
  <c r="C116" i="1"/>
  <c r="B116" i="1"/>
  <c r="J115" i="1"/>
  <c r="K115" i="1" s="1"/>
  <c r="I115" i="1"/>
  <c r="C115" i="1"/>
  <c r="B115" i="1"/>
  <c r="J114" i="1"/>
  <c r="K114" i="1" s="1"/>
  <c r="I114" i="1"/>
  <c r="C114" i="1"/>
  <c r="B114" i="1"/>
  <c r="J113" i="1"/>
  <c r="K113" i="1" s="1"/>
  <c r="I113" i="1"/>
  <c r="C113" i="1"/>
  <c r="B113" i="1"/>
  <c r="J112" i="1"/>
  <c r="K112" i="1" s="1"/>
  <c r="I112" i="1"/>
  <c r="C112" i="1"/>
  <c r="B112" i="1"/>
  <c r="J111" i="1"/>
  <c r="K111" i="1" s="1"/>
  <c r="I111" i="1"/>
  <c r="C111" i="1"/>
  <c r="B111" i="1"/>
  <c r="J110" i="1"/>
  <c r="K110" i="1" s="1"/>
  <c r="I110" i="1"/>
  <c r="C110" i="1"/>
  <c r="B110" i="1"/>
  <c r="J109" i="1"/>
  <c r="K109" i="1" s="1"/>
  <c r="I109" i="1"/>
  <c r="C109" i="1"/>
  <c r="B109" i="1"/>
  <c r="J108" i="1"/>
  <c r="K108" i="1" s="1"/>
  <c r="I108" i="1"/>
  <c r="C108" i="1"/>
  <c r="B108" i="1"/>
  <c r="J107" i="1"/>
  <c r="K107" i="1" s="1"/>
  <c r="I107" i="1"/>
  <c r="C107" i="1"/>
  <c r="B107" i="1"/>
  <c r="J106" i="1"/>
  <c r="K106" i="1" s="1"/>
  <c r="I106" i="1"/>
  <c r="C106" i="1"/>
  <c r="B106" i="1"/>
  <c r="J105" i="1"/>
  <c r="K105" i="1" s="1"/>
  <c r="I105" i="1"/>
  <c r="C105" i="1"/>
  <c r="B105" i="1"/>
  <c r="J104" i="1"/>
  <c r="K104" i="1" s="1"/>
  <c r="I104" i="1"/>
  <c r="C104" i="1"/>
  <c r="B104" i="1"/>
  <c r="J103" i="1"/>
  <c r="K103" i="1" s="1"/>
  <c r="I103" i="1"/>
  <c r="C103" i="1"/>
  <c r="B103" i="1"/>
  <c r="J102" i="1"/>
  <c r="K102" i="1" s="1"/>
  <c r="I102" i="1"/>
  <c r="C102" i="1"/>
  <c r="B102" i="1"/>
  <c r="J101" i="1"/>
  <c r="K101" i="1" s="1"/>
  <c r="I101" i="1"/>
  <c r="C101" i="1"/>
  <c r="B101" i="1"/>
  <c r="J100" i="1"/>
  <c r="K100" i="1" s="1"/>
  <c r="I100" i="1"/>
  <c r="C100" i="1"/>
  <c r="B100" i="1"/>
  <c r="J99" i="1"/>
  <c r="K99" i="1" s="1"/>
  <c r="I99" i="1"/>
  <c r="C99" i="1"/>
  <c r="B99" i="1"/>
  <c r="J98" i="1"/>
  <c r="K98" i="1" s="1"/>
  <c r="I98" i="1"/>
  <c r="C98" i="1"/>
  <c r="B98" i="1"/>
  <c r="J97" i="1"/>
  <c r="K97" i="1" s="1"/>
  <c r="I97" i="1"/>
  <c r="C97" i="1"/>
  <c r="B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2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I2" i="1"/>
  <c r="J96" i="1"/>
  <c r="K96" i="1" s="1"/>
  <c r="I96" i="1"/>
  <c r="J95" i="1"/>
  <c r="K95" i="1" s="1"/>
  <c r="I95" i="1"/>
  <c r="J94" i="1"/>
  <c r="K94" i="1" s="1"/>
  <c r="I94" i="1"/>
  <c r="J93" i="1"/>
  <c r="K93" i="1" s="1"/>
  <c r="I93" i="1"/>
  <c r="J92" i="1"/>
  <c r="K92" i="1" s="1"/>
  <c r="I92" i="1"/>
  <c r="J91" i="1"/>
  <c r="K91" i="1" s="1"/>
  <c r="I91" i="1"/>
  <c r="J90" i="1"/>
  <c r="K90" i="1" s="1"/>
  <c r="I90" i="1"/>
  <c r="J89" i="1"/>
  <c r="K89" i="1" s="1"/>
  <c r="I89" i="1"/>
  <c r="J88" i="1"/>
  <c r="K88" i="1" s="1"/>
  <c r="I88" i="1"/>
  <c r="J87" i="1"/>
  <c r="K87" i="1" s="1"/>
  <c r="I87" i="1"/>
  <c r="J86" i="1"/>
  <c r="K86" i="1" s="1"/>
  <c r="I86" i="1"/>
  <c r="J85" i="1"/>
  <c r="K85" i="1" s="1"/>
  <c r="I85" i="1"/>
  <c r="J84" i="1"/>
  <c r="K84" i="1" s="1"/>
  <c r="I84" i="1"/>
  <c r="J83" i="1"/>
  <c r="K83" i="1" s="1"/>
  <c r="I83" i="1"/>
  <c r="J82" i="1"/>
  <c r="K82" i="1" s="1"/>
  <c r="I82" i="1"/>
  <c r="J81" i="1"/>
  <c r="K81" i="1" s="1"/>
  <c r="I81" i="1"/>
  <c r="J80" i="1"/>
  <c r="K80" i="1" s="1"/>
  <c r="I80" i="1"/>
  <c r="J79" i="1"/>
  <c r="K79" i="1" s="1"/>
  <c r="I79" i="1"/>
  <c r="J78" i="1"/>
  <c r="K78" i="1" s="1"/>
  <c r="I78" i="1"/>
  <c r="J77" i="1"/>
  <c r="K77" i="1" s="1"/>
  <c r="I77" i="1"/>
  <c r="J76" i="1"/>
  <c r="K76" i="1" s="1"/>
  <c r="I76" i="1"/>
  <c r="J75" i="1"/>
  <c r="K75" i="1" s="1"/>
  <c r="I75" i="1"/>
  <c r="J74" i="1"/>
  <c r="K74" i="1" s="1"/>
  <c r="I74" i="1"/>
  <c r="J73" i="1"/>
  <c r="K73" i="1" s="1"/>
  <c r="I73" i="1"/>
  <c r="J72" i="1"/>
  <c r="K72" i="1" s="1"/>
  <c r="I72" i="1"/>
  <c r="J71" i="1"/>
  <c r="K71" i="1" s="1"/>
  <c r="I71" i="1"/>
  <c r="J70" i="1"/>
  <c r="K70" i="1" s="1"/>
  <c r="I70" i="1"/>
  <c r="J69" i="1"/>
  <c r="K69" i="1" s="1"/>
  <c r="I69" i="1"/>
  <c r="J68" i="1"/>
  <c r="K68" i="1" s="1"/>
  <c r="I68" i="1"/>
  <c r="J67" i="1"/>
  <c r="K67" i="1" s="1"/>
  <c r="I67" i="1"/>
  <c r="J66" i="1"/>
  <c r="K66" i="1" s="1"/>
  <c r="I66" i="1"/>
  <c r="J65" i="1"/>
  <c r="K65" i="1" s="1"/>
  <c r="I65" i="1"/>
  <c r="J64" i="1"/>
  <c r="K64" i="1" s="1"/>
  <c r="I64" i="1"/>
  <c r="J63" i="1"/>
  <c r="K63" i="1" s="1"/>
  <c r="I63" i="1"/>
  <c r="J62" i="1"/>
  <c r="K62" i="1" s="1"/>
  <c r="I62" i="1"/>
  <c r="J61" i="1"/>
  <c r="K61" i="1" s="1"/>
  <c r="I61" i="1"/>
  <c r="J60" i="1"/>
  <c r="K60" i="1" s="1"/>
  <c r="I60" i="1"/>
  <c r="J59" i="1"/>
  <c r="K59" i="1" s="1"/>
  <c r="I59" i="1"/>
  <c r="J58" i="1"/>
  <c r="K58" i="1" s="1"/>
  <c r="I58" i="1"/>
  <c r="J57" i="1"/>
  <c r="K57" i="1" s="1"/>
  <c r="I57" i="1"/>
  <c r="J56" i="1"/>
  <c r="K56" i="1" s="1"/>
  <c r="I56" i="1"/>
  <c r="J55" i="1"/>
  <c r="K55" i="1" s="1"/>
  <c r="I55" i="1"/>
  <c r="J54" i="1"/>
  <c r="K54" i="1" s="1"/>
  <c r="I54" i="1"/>
  <c r="J53" i="1"/>
  <c r="K53" i="1" s="1"/>
  <c r="I53" i="1"/>
  <c r="J52" i="1"/>
  <c r="K52" i="1" s="1"/>
  <c r="I52" i="1"/>
  <c r="J51" i="1"/>
  <c r="K51" i="1" s="1"/>
  <c r="I51" i="1"/>
  <c r="J50" i="1"/>
  <c r="K50" i="1" s="1"/>
  <c r="I50" i="1"/>
  <c r="J49" i="1"/>
  <c r="K49" i="1" s="1"/>
  <c r="I49" i="1"/>
  <c r="J48" i="1"/>
  <c r="K48" i="1" s="1"/>
  <c r="I48" i="1"/>
  <c r="J47" i="1"/>
  <c r="K47" i="1" s="1"/>
  <c r="I47" i="1"/>
  <c r="J46" i="1"/>
  <c r="K46" i="1" s="1"/>
  <c r="I46" i="1"/>
  <c r="J45" i="1"/>
  <c r="K45" i="1" s="1"/>
  <c r="I45" i="1"/>
  <c r="J44" i="1"/>
  <c r="K44" i="1" s="1"/>
  <c r="I44" i="1"/>
  <c r="J43" i="1"/>
  <c r="K43" i="1" s="1"/>
  <c r="I43" i="1"/>
  <c r="J42" i="1"/>
  <c r="K42" i="1" s="1"/>
  <c r="I42" i="1"/>
  <c r="J41" i="1"/>
  <c r="K41" i="1" s="1"/>
  <c r="I41" i="1"/>
  <c r="J40" i="1"/>
  <c r="K40" i="1" s="1"/>
  <c r="I40" i="1"/>
  <c r="J39" i="1"/>
  <c r="K39" i="1" s="1"/>
  <c r="I39" i="1"/>
  <c r="J38" i="1"/>
  <c r="K38" i="1" s="1"/>
  <c r="I38" i="1"/>
  <c r="J37" i="1"/>
  <c r="K37" i="1" s="1"/>
  <c r="I37" i="1"/>
  <c r="J36" i="1"/>
  <c r="K36" i="1" s="1"/>
  <c r="I36" i="1"/>
  <c r="J35" i="1"/>
  <c r="K35" i="1" s="1"/>
  <c r="I35" i="1"/>
  <c r="J34" i="1"/>
  <c r="K34" i="1" s="1"/>
  <c r="I34" i="1"/>
  <c r="J33" i="1"/>
  <c r="K33" i="1" s="1"/>
  <c r="I33" i="1"/>
  <c r="J32" i="1"/>
  <c r="K32" i="1" s="1"/>
  <c r="I32" i="1"/>
  <c r="J31" i="1"/>
  <c r="K31" i="1" s="1"/>
  <c r="I31" i="1"/>
  <c r="J30" i="1"/>
  <c r="K30" i="1" s="1"/>
  <c r="I30" i="1"/>
  <c r="J29" i="1"/>
  <c r="K29" i="1" s="1"/>
  <c r="I29" i="1"/>
  <c r="J28" i="1"/>
  <c r="K28" i="1" s="1"/>
  <c r="I28" i="1"/>
  <c r="J27" i="1"/>
  <c r="K27" i="1" s="1"/>
  <c r="I27" i="1"/>
  <c r="J26" i="1"/>
  <c r="K26" i="1" s="1"/>
  <c r="I26" i="1"/>
  <c r="J25" i="1"/>
  <c r="K25" i="1" s="1"/>
  <c r="I25" i="1"/>
  <c r="J24" i="1"/>
  <c r="K24" i="1" s="1"/>
  <c r="I24" i="1"/>
  <c r="J23" i="1"/>
  <c r="K23" i="1" s="1"/>
  <c r="I23" i="1"/>
  <c r="J22" i="1"/>
  <c r="K22" i="1" s="1"/>
  <c r="I22" i="1"/>
  <c r="J21" i="1"/>
  <c r="K21" i="1" s="1"/>
  <c r="I21" i="1"/>
  <c r="J20" i="1"/>
  <c r="K20" i="1" s="1"/>
  <c r="I20" i="1"/>
  <c r="J19" i="1"/>
  <c r="K19" i="1" s="1"/>
  <c r="I19" i="1"/>
  <c r="J18" i="1"/>
  <c r="K18" i="1" s="1"/>
  <c r="I18" i="1"/>
  <c r="J17" i="1"/>
  <c r="K17" i="1" s="1"/>
  <c r="I17" i="1"/>
  <c r="J16" i="1"/>
  <c r="K16" i="1" s="1"/>
  <c r="I16" i="1"/>
  <c r="J15" i="1"/>
  <c r="K15" i="1" s="1"/>
  <c r="I15" i="1"/>
  <c r="J14" i="1"/>
  <c r="K14" i="1" s="1"/>
  <c r="I14" i="1"/>
  <c r="J13" i="1"/>
  <c r="K13" i="1" s="1"/>
  <c r="I13" i="1"/>
  <c r="J12" i="1"/>
  <c r="K12" i="1" s="1"/>
  <c r="I12" i="1"/>
  <c r="J11" i="1"/>
  <c r="K11" i="1" s="1"/>
  <c r="I11" i="1"/>
  <c r="J10" i="1"/>
  <c r="K10" i="1" s="1"/>
  <c r="I10" i="1"/>
  <c r="J9" i="1"/>
  <c r="K9" i="1" s="1"/>
  <c r="I9" i="1"/>
  <c r="J8" i="1"/>
  <c r="K8" i="1" s="1"/>
  <c r="I8" i="1"/>
  <c r="J7" i="1"/>
  <c r="K7" i="1" s="1"/>
  <c r="I7" i="1"/>
  <c r="J6" i="1"/>
  <c r="K6" i="1" s="1"/>
  <c r="I6" i="1"/>
  <c r="J5" i="1"/>
  <c r="K5" i="1" s="1"/>
  <c r="I5" i="1"/>
  <c r="J4" i="1"/>
  <c r="K4" i="1" s="1"/>
  <c r="I4" i="1"/>
  <c r="J3" i="1"/>
  <c r="K3" i="1" s="1"/>
  <c r="I3" i="1"/>
  <c r="J2" i="1"/>
  <c r="K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Ayala</author>
  </authors>
  <commentList>
    <comment ref="C42" authorId="0" shapeId="0" xr:uid="{8F93AD11-95C7-4E4B-A044-0C9E8BEEC52D}">
      <text>
        <r>
          <rPr>
            <b/>
            <sz val="9"/>
            <color indexed="81"/>
            <rFont val="Tahoma"/>
            <family val="2"/>
          </rPr>
          <t>Responsive Design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<sst xmlns="http://schemas.openxmlformats.org/spreadsheetml/2006/main" count="3473" uniqueCount="241">
  <si>
    <t>Fecha</t>
  </si>
  <si>
    <t>Mes</t>
  </si>
  <si>
    <t>Año</t>
  </si>
  <si>
    <t>Proveedor</t>
  </si>
  <si>
    <t>club</t>
  </si>
  <si>
    <t>Codigo de Falla</t>
  </si>
  <si>
    <t>Nivel</t>
  </si>
  <si>
    <t>Critico</t>
  </si>
  <si>
    <t>Medio</t>
  </si>
  <si>
    <t>Bajo</t>
  </si>
  <si>
    <t>Opratel</t>
  </si>
  <si>
    <t>Chocolate</t>
  </si>
  <si>
    <t>Renxo</t>
  </si>
  <si>
    <t>Digital Virgo</t>
  </si>
  <si>
    <t>Bennu</t>
  </si>
  <si>
    <t>T-Mobs</t>
  </si>
  <si>
    <t>airG</t>
  </si>
  <si>
    <t>Zed</t>
  </si>
  <si>
    <t>GPM</t>
  </si>
  <si>
    <t>Celcom</t>
  </si>
  <si>
    <t>AWG</t>
  </si>
  <si>
    <t>Cykadas</t>
  </si>
  <si>
    <t>FaroMobile</t>
  </si>
  <si>
    <t>KMD</t>
  </si>
  <si>
    <t>True Caller</t>
  </si>
  <si>
    <t>Wasabi</t>
  </si>
  <si>
    <t>SocialAst</t>
  </si>
  <si>
    <t>Digevo</t>
  </si>
  <si>
    <t>Opratel  - Club 1</t>
  </si>
  <si>
    <t>Opratel  - Club 2</t>
  </si>
  <si>
    <t>Opratel  - Club 3</t>
  </si>
  <si>
    <t>Chocolate  - Club 1</t>
  </si>
  <si>
    <t>Chocolate  - Club 2</t>
  </si>
  <si>
    <t>Chocolate  - Club 3</t>
  </si>
  <si>
    <t>Renxo  - Club 1</t>
  </si>
  <si>
    <t>Renxo  - Club 2</t>
  </si>
  <si>
    <t>Renxo  - Club 3</t>
  </si>
  <si>
    <t>Digital Virgo  - Club 1</t>
  </si>
  <si>
    <t>Digital Virgo  - Club 2</t>
  </si>
  <si>
    <t>Digital Virgo  - Club 3</t>
  </si>
  <si>
    <t>Bennu  - Club 1</t>
  </si>
  <si>
    <t>Bennu  - Club 2</t>
  </si>
  <si>
    <t>Bennu  - Club 3</t>
  </si>
  <si>
    <t>T-Mobs  - Club 1</t>
  </si>
  <si>
    <t>T-Mobs  - Club 2</t>
  </si>
  <si>
    <t>T-Mobs  - Club 3</t>
  </si>
  <si>
    <t>airG  - Club 1</t>
  </si>
  <si>
    <t>airG  - Club 2</t>
  </si>
  <si>
    <t>airG  - Club 3</t>
  </si>
  <si>
    <t>Zed  - Club 1</t>
  </si>
  <si>
    <t>Zed  - Club 2</t>
  </si>
  <si>
    <t>Zed  - Club 3</t>
  </si>
  <si>
    <t>GPM  - Club 1</t>
  </si>
  <si>
    <t>GPM  - Club 2</t>
  </si>
  <si>
    <t>GPM  - Club 3</t>
  </si>
  <si>
    <t>Celcom  - Club 1</t>
  </si>
  <si>
    <t>Celcom  - Club 2</t>
  </si>
  <si>
    <t>Celcom  - Club 3</t>
  </si>
  <si>
    <t>AWG  - Club 1</t>
  </si>
  <si>
    <t>AWG  - Club 2</t>
  </si>
  <si>
    <t>AWG  - Club 3</t>
  </si>
  <si>
    <t>Cykadas  - Club 1</t>
  </si>
  <si>
    <t>Cykadas  - Club 2</t>
  </si>
  <si>
    <t>Cykadas  - Club 3</t>
  </si>
  <si>
    <t>FaroMobile  - Club 1</t>
  </si>
  <si>
    <t>FaroMobile  - Club 2</t>
  </si>
  <si>
    <t>FaroMobile  - Club 3</t>
  </si>
  <si>
    <t>KMD  - Club 1</t>
  </si>
  <si>
    <t>KMD  - Club 2</t>
  </si>
  <si>
    <t>KMD  - Club 3</t>
  </si>
  <si>
    <t>True Caller  - Club 1</t>
  </si>
  <si>
    <t>True Caller  - Club 2</t>
  </si>
  <si>
    <t>True Caller  - Club 3</t>
  </si>
  <si>
    <t>Wasabi  - Club 1</t>
  </si>
  <si>
    <t>Wasabi  - Club 2</t>
  </si>
  <si>
    <t>Wasabi  - Club 3</t>
  </si>
  <si>
    <t>SocialAst  - Club 1</t>
  </si>
  <si>
    <t>SocialAst  - Club 2</t>
  </si>
  <si>
    <t>SocialAst  - Club 3</t>
  </si>
  <si>
    <t>Digevo  - Club 1</t>
  </si>
  <si>
    <t>Digevo  - Club 2</t>
  </si>
  <si>
    <t>Digevo  - Club 3</t>
  </si>
  <si>
    <t>ISSUE</t>
  </si>
  <si>
    <t>Categoria</t>
  </si>
  <si>
    <t>Descripcion</t>
  </si>
  <si>
    <t>DESCRIPCION</t>
  </si>
  <si>
    <t>Prueba OK</t>
  </si>
  <si>
    <t>Alta con éxito.</t>
  </si>
  <si>
    <t>No se genero el alta - no hay respuesta al kw.</t>
  </si>
  <si>
    <t>Falla en doble optin en sms.</t>
  </si>
  <si>
    <t>Inconsistencia en el welcome.</t>
  </si>
  <si>
    <t>No llega pin code.</t>
  </si>
  <si>
    <t>Inconsistencia en el pin code.</t>
  </si>
  <si>
    <t>Falla en lp de suscripción web.</t>
  </si>
  <si>
    <t>Falla en lp de suscripción wap - header enrichment.</t>
  </si>
  <si>
    <t>Inconsistencias en t&amp;c en la lp.</t>
  </si>
  <si>
    <t>Fallas en estructura o diseño de la lp.</t>
  </si>
  <si>
    <t>Falla en alta a traves de ivr.</t>
  </si>
  <si>
    <t>Falla en alta a traves de sim.</t>
  </si>
  <si>
    <t>Falla en alta a traves de tienda.</t>
  </si>
  <si>
    <t>Servicio suspendido.</t>
  </si>
  <si>
    <t>Falla en doble optin en sim.</t>
  </si>
  <si>
    <t>Entrega de mensaje fuera de horario establecido.</t>
  </si>
  <si>
    <t>Inconsistencias en textos/fraseologia sms.</t>
  </si>
  <si>
    <t>Entrega de mensajeria sms con delay.</t>
  </si>
  <si>
    <t>Error/inconsistencia en t&amp;c en sms.</t>
  </si>
  <si>
    <t>Llego contenido de otro club.</t>
  </si>
  <si>
    <t>Llego doble contenido.</t>
  </si>
  <si>
    <t>Contenido repetido.</t>
  </si>
  <si>
    <t>No cumple las politicas de estructura del operador.</t>
  </si>
  <si>
    <t>Contenido desactualizado.</t>
  </si>
  <si>
    <t>Contenido no apropiado - fuera de las politicas del operador.</t>
  </si>
  <si>
    <t>No llego contenido (si hubo cobro).</t>
  </si>
  <si>
    <t>No llego contenido (no hubo cobro).</t>
  </si>
  <si>
    <t>Llego contenido (no hubo cobro).</t>
  </si>
  <si>
    <t>Cobro valor diferente al autorizado.</t>
  </si>
  <si>
    <t>Cobro doble vez.</t>
  </si>
  <si>
    <t>Inconsistencias en la recurrencia del cobro.</t>
  </si>
  <si>
    <t>Inconsistencias con el cobro escalonado.</t>
  </si>
  <si>
    <t>No entrega confirmacion de cobro.</t>
  </si>
  <si>
    <t>Problemas con las credenciales y acceso a portal / web-app.</t>
  </si>
  <si>
    <t>Portal / web-app caida.</t>
  </si>
  <si>
    <t>Portal desactualizado.</t>
  </si>
  <si>
    <t>Problemas de estructura o textos del portal o web-app.</t>
  </si>
  <si>
    <t>No descarga contenidos - problemas con la descarga.</t>
  </si>
  <si>
    <t>No funciona la interaccion.</t>
  </si>
  <si>
    <t>Inconsistencias en los t&amp;c del portal / web-app.</t>
  </si>
  <si>
    <t>409 no cumple con caracteristicas de diseño responsive.</t>
  </si>
  <si>
    <t>No funciona el comando de baja.</t>
  </si>
  <si>
    <t>No entrega el mt de baja.</t>
  </si>
  <si>
    <t>Dio de baja en sms pero sigue activo en la plataforma.</t>
  </si>
  <si>
    <t>No funciona la baja desde la lp.</t>
  </si>
  <si>
    <t>No funciona la baja desde tienda.</t>
  </si>
  <si>
    <t>No funciona la baja desde ivr.</t>
  </si>
  <si>
    <t>No funciona la baja desde portal / web app.</t>
  </si>
  <si>
    <t>No permite dar baja por no tener saldo.</t>
  </si>
  <si>
    <t>No envia el mo.</t>
  </si>
  <si>
    <t>No se recibe mt.</t>
  </si>
  <si>
    <t>Fallas en la interaccion mo/mt.</t>
  </si>
  <si>
    <t>Fallas en puntajes, trivias, creditos, etc.</t>
  </si>
  <si>
    <t>No funcionan los kw´s especiales (info, puntaje, ayuda, etc).</t>
  </si>
  <si>
    <t>No da respuesta a kw regulatorio.</t>
  </si>
  <si>
    <t>Falla en colilla legal con info del cp.</t>
  </si>
  <si>
    <t>Cobro en valor y forma correcto.</t>
  </si>
  <si>
    <t>Contenidos recibido con éxito.</t>
  </si>
  <si>
    <t>Portal evaluado con éxito.</t>
  </si>
  <si>
    <t>Baja con éxito.</t>
  </si>
  <si>
    <t>Flujo MO/MT con éxito.</t>
  </si>
  <si>
    <t>Politicas de los operadores cumplidas.</t>
  </si>
  <si>
    <t>Digital Virgo - Club 2</t>
  </si>
  <si>
    <t>FaroMobile - Club 2</t>
  </si>
  <si>
    <t>True Caller - Club 3</t>
  </si>
  <si>
    <t>SocialAst - Club 1</t>
  </si>
  <si>
    <t>Digital Virgo - Club 3</t>
  </si>
  <si>
    <t>FaroMobile - Club 3</t>
  </si>
  <si>
    <t>True Caller - Club 1</t>
  </si>
  <si>
    <t>SocialAst - Club 2</t>
  </si>
  <si>
    <t>Digital Virgo - Club 1</t>
  </si>
  <si>
    <t>FaroMobile - Club 1</t>
  </si>
  <si>
    <t>True Caller - Club 2</t>
  </si>
  <si>
    <t>SocialAst - Club 3</t>
  </si>
  <si>
    <t>Opratel - Club 1</t>
  </si>
  <si>
    <t>Opratel - Club 2</t>
  </si>
  <si>
    <t>Opratel - Club 3</t>
  </si>
  <si>
    <t>Chocolate - Club 1</t>
  </si>
  <si>
    <t>Chocolate - Club 2</t>
  </si>
  <si>
    <t>Chocolate - Club 3</t>
  </si>
  <si>
    <t>Renxo - Club 1</t>
  </si>
  <si>
    <t>Renxo - Club 2</t>
  </si>
  <si>
    <t>Renxo - Club 3</t>
  </si>
  <si>
    <t>Bennu - Club 1</t>
  </si>
  <si>
    <t>Bennu - Club 2</t>
  </si>
  <si>
    <t>Bennu - Club 3</t>
  </si>
  <si>
    <t>T-Mobs - Club 1</t>
  </si>
  <si>
    <t>T-Mobs - Club 2</t>
  </si>
  <si>
    <t>T-Mobs - Club 3</t>
  </si>
  <si>
    <t>airG - Club 1</t>
  </si>
  <si>
    <t>airG - Club 2</t>
  </si>
  <si>
    <t>airG - Club 3</t>
  </si>
  <si>
    <t>Zed - Club 1</t>
  </si>
  <si>
    <t>Zed - Club 2</t>
  </si>
  <si>
    <t>Zed - Club 3</t>
  </si>
  <si>
    <t>GPM - Club 1</t>
  </si>
  <si>
    <t>GPM - Club 2</t>
  </si>
  <si>
    <t>GPM - Club 3</t>
  </si>
  <si>
    <t>Celcom - Club 1</t>
  </si>
  <si>
    <t>Celcom - Club 2</t>
  </si>
  <si>
    <t>Celcom - Club 3</t>
  </si>
  <si>
    <t>AWG - Club 1</t>
  </si>
  <si>
    <t>AWG - Club 2</t>
  </si>
  <si>
    <t>AWG - Club 3</t>
  </si>
  <si>
    <t>Cykadas - Club 1</t>
  </si>
  <si>
    <t>Cykadas - Club 2</t>
  </si>
  <si>
    <t>Cykadas - Club 3</t>
  </si>
  <si>
    <t>KMD - Club 1</t>
  </si>
  <si>
    <t>KMD - Club 2</t>
  </si>
  <si>
    <t>KMD - Club 3</t>
  </si>
  <si>
    <t>Wasabi - Club 1</t>
  </si>
  <si>
    <t>Wasabi - Club 2</t>
  </si>
  <si>
    <t>Wasabi - Club 3</t>
  </si>
  <si>
    <t>Digevo - Club 1</t>
  </si>
  <si>
    <t>Digevo - Club 2</t>
  </si>
  <si>
    <t>Digevo - Club 3</t>
  </si>
  <si>
    <t>Canal</t>
  </si>
  <si>
    <t>SMS</t>
  </si>
  <si>
    <t>SAT</t>
  </si>
  <si>
    <t>Web</t>
  </si>
  <si>
    <t>Wap</t>
  </si>
  <si>
    <t>Otro</t>
  </si>
  <si>
    <t>Sim</t>
  </si>
  <si>
    <t>Tienda</t>
  </si>
  <si>
    <t>febrero</t>
  </si>
  <si>
    <t>Total general</t>
  </si>
  <si>
    <t>(100)  Alta</t>
  </si>
  <si>
    <t>(200) Contenidos</t>
  </si>
  <si>
    <t>(300) Cobros</t>
  </si>
  <si>
    <t>(400) Portales / Web-App</t>
  </si>
  <si>
    <t>(500) Baja / Cancelacion</t>
  </si>
  <si>
    <t>(700) Interaccion MO/MT (On Demand)</t>
  </si>
  <si>
    <t>(800) Politicas especiales operadores</t>
  </si>
  <si>
    <t>Resultado</t>
  </si>
  <si>
    <t>Cuenta de Resultado</t>
  </si>
  <si>
    <t>Issue</t>
  </si>
  <si>
    <t>OK</t>
  </si>
  <si>
    <t>Pruebas Exitosas Vs Issues</t>
  </si>
  <si>
    <t>(Todas)</t>
  </si>
  <si>
    <t>enero</t>
  </si>
  <si>
    <t>marzo</t>
  </si>
  <si>
    <t>abril</t>
  </si>
  <si>
    <t>mayo</t>
  </si>
  <si>
    <t>General</t>
  </si>
  <si>
    <t>Todos el ecosistema</t>
  </si>
  <si>
    <t>Home</t>
  </si>
  <si>
    <t>Filtros Integrador</t>
  </si>
  <si>
    <t>Ultimos 4 meses</t>
  </si>
  <si>
    <t>Integradores</t>
  </si>
  <si>
    <t>Todos el ecosistema Pero por integradores</t>
  </si>
  <si>
    <t>Todos el ecosistema Pero por Club</t>
  </si>
  <si>
    <t>Ecosistema</t>
  </si>
  <si>
    <t>Fallas (general y por integrado y/o club))</t>
  </si>
  <si>
    <t>Clubs (general y por integrado y/o club))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</si>
</sst>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_);[Red]&quot;$&quot;\ \-#,##0"/>
    <numFmt numFmtId="165" formatCode="dd/mmmm/yyyy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FFFFFF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wrapText="1"/>
    </xf>
    <xf numFmtId="0" fontId="0" fillId="0" borderId="1" xfId="0" applyBorder="1"/>
    <xf numFmtId="0" fontId="0" fillId="0" borderId="1" xfId="0" applyBorder="1"/>
    <xf numFmtId="165" fontId="0" fillId="0" borderId="1" xfId="0" applyNumberFormat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6" borderId="1" xfId="0" applyFill="1" applyBorder="1"/>
    <xf numFmtId="0" fontId="0" fillId="0" borderId="0" xfId="0" applyNumberFormat="1"/>
    <xf numFmtId="0" fontId="9" fillId="0" borderId="0" xfId="0" applyFont="1" applyAlignment="1">
      <alignment horizontal="center"/>
    </xf>
    <xf numFmtId="0" fontId="1" fillId="4" borderId="1" xfId="0" applyFont="1" applyFill="1" applyBorder="1" applyAlignment="1" applyProtection="1">
      <alignment horizontal="center" vertical="center"/>
    </xf>
    <xf numFmtId="164" fontId="1" fillId="4" borderId="1" xfId="0" applyNumberFormat="1" applyFon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/>
    </xf>
    <xf numFmtId="0" fontId="0" fillId="3" borderId="1" xfId="0" applyFill="1" applyBorder="1" applyProtection="1"/>
    <xf numFmtId="0" fontId="0" fillId="7" borderId="1" xfId="0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65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</cellXfs>
  <cellStyles count="2">
    <cellStyle name="Normal" xfId="0" builtinId="0"/>
    <cellStyle name="Normal 2" xfId="1" xr:uid="{49DD36C1-FE5D-4014-835B-2ABEAC21C387}"/>
  </cellStyles>
  <dxfs count="6">
    <dxf>
      <font>
        <color rgb="FFFF0000"/>
      </font>
    </dxf>
    <dxf>
      <font>
        <color rgb="FF00B050"/>
      </font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Database.xlsx]tablas dinamicas!TablaDinámica1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dinamicas'!$C$3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19-47E3-B28C-ACEF895436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19-47E3-B28C-ACEF895436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dinamicas'!$B$4:$B$6</c:f>
              <c:strCache>
                <c:ptCount val="2"/>
                <c:pt idx="0">
                  <c:v>OK</c:v>
                </c:pt>
                <c:pt idx="1">
                  <c:v>Issue</c:v>
                </c:pt>
              </c:strCache>
            </c:strRef>
          </c:cat>
          <c:val>
            <c:numRef>
              <c:f>'tablas dinamicas'!$C$4:$C$6</c:f>
              <c:numCache>
                <c:formatCode>General</c:formatCode>
                <c:ptCount val="2"/>
                <c:pt idx="0">
                  <c:v>90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6-429D-A207-6B89988010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2</xdr:row>
      <xdr:rowOff>60325</xdr:rowOff>
    </xdr:from>
    <xdr:to>
      <xdr:col>9</xdr:col>
      <xdr:colOff>733425</xdr:colOff>
      <xdr:row>17</xdr:row>
      <xdr:rowOff>41275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455FC7-EE8B-480F-A75B-907A6384E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tial" refreshedDate="46157.521253935185" createdVersion="7" refreshedVersion="7" minRefreshableVersion="3" recordCount="1050" xr:uid="{A1C61801-62EE-4E05-B98A-84126D231BBE}">
  <cacheSource type="worksheet">
    <worksheetSource ref="A1:K1048576" sheet="DB"/>
  </cacheSource>
  <cacheFields count="11">
    <cacheField name="Fecha" numFmtId="0">
      <sharedItems containsNonDate="0" containsDate="1" containsString="0" containsBlank="1" minDate="2026-01-01T00:00:00" maxDate="2026-05-16T00:00:00"/>
    </cacheField>
    <cacheField name="Mes" numFmtId="0">
      <sharedItems containsBlank="1" count="8">
        <s v="enero"/>
        <s v="marzo"/>
        <s v="mayo"/>
        <s v="febrero"/>
        <s v="abril"/>
        <s v=""/>
        <m/>
        <s v="agosto" u="1"/>
      </sharedItems>
    </cacheField>
    <cacheField name="Año" numFmtId="0">
      <sharedItems containsBlank="1"/>
    </cacheField>
    <cacheField name="Canal" numFmtId="0">
      <sharedItems containsBlank="1"/>
    </cacheField>
    <cacheField name="Proveedor" numFmtId="0">
      <sharedItems containsBlank="1" count="19">
        <s v="Wasabi"/>
        <s v="Renxo"/>
        <s v="Opratel"/>
        <s v="Celcom"/>
        <s v="Chocolate"/>
        <s v="T-Mobs"/>
        <s v="airG"/>
        <s v="Digevo"/>
        <s v="KMD"/>
        <s v="Cykadas"/>
        <s v="SocialAst"/>
        <s v="AWG"/>
        <s v="Bennu"/>
        <s v="Zed"/>
        <s v="FaroMobile"/>
        <s v="GPM"/>
        <s v="True Caller"/>
        <s v="Digital Virgo"/>
        <m/>
      </sharedItems>
    </cacheField>
    <cacheField name="club" numFmtId="0">
      <sharedItems containsBlank="1"/>
    </cacheField>
    <cacheField name="ISSUE" numFmtId="0">
      <sharedItems containsString="0" containsBlank="1" containsNumber="1" containsInteger="1" minValue="100" maxValue="802"/>
    </cacheField>
    <cacheField name="Categoria" numFmtId="0">
      <sharedItems containsBlank="1" count="9">
        <s v="(100)  Alta"/>
        <s v="(400) Portales / Web-App"/>
        <s v="(200) Contenidos"/>
        <s v="(500) Baja / Cancelacion"/>
        <s v="(700) Interaccion MO/MT (On Demand)"/>
        <s v="(800) Politicas especiales operadores"/>
        <s v="(300) Cobros"/>
        <s v=""/>
        <m/>
      </sharedItems>
    </cacheField>
    <cacheField name="DESCRIPCION" numFmtId="0">
      <sharedItems containsBlank="1" count="64">
        <s v="Falla en alta a traves de tienda."/>
        <s v="Portal evaluado con éxito."/>
        <s v="Alta con éxito."/>
        <s v="Servicio suspendido."/>
        <s v="Inconsistencias en los t&amp;c del portal / web-app."/>
        <s v="No llega pin code."/>
        <s v="Contenidos recibido con éxito."/>
        <s v="No se genero el alta - no hay respuesta al kw."/>
        <s v="Baja con éxito."/>
        <s v="Fallas en la interaccion mo/mt."/>
        <s v="No permite dar baja por no tener saldo."/>
        <s v="Falla en lp de suscripción wap - header enrichment."/>
        <s v="Portal / web-app caida."/>
        <s v="No funciona la baja desde portal / web app."/>
        <s v="Flujo MO/MT con éxito."/>
        <s v="No descarga contenidos - problemas con la descarga."/>
        <s v="Problemas con las credenciales y acceso a portal / web-app."/>
        <s v="No funciona la baja desde ivr."/>
        <s v="Politicas de los operadores cumplidas."/>
        <s v="Portal desactualizado."/>
        <s v="Cobro en valor y forma correcto."/>
        <s v="Error/inconsistencia en t&amp;c en sms."/>
        <s v="Contenido no apropiado - fuera de las politicas del operador."/>
        <s v="No funciona la baja desde tienda."/>
        <s v="No cumple las politicas de estructura del operador."/>
        <s v="Falla en colilla legal con info del cp."/>
        <s v="Inconsistencias con el cobro escalonado."/>
        <s v="No entrega el mt de baja."/>
        <s v="No da respuesta a kw regulatorio."/>
        <s v="Entrega de mensajeria sms con delay."/>
        <s v="Entrega de mensaje fuera de horario establecido."/>
        <s v="Fallas en estructura o diseño de la lp."/>
        <s v="Contenido repetido."/>
        <s v="No se recibe mt."/>
        <s v="Llego contenido de otro club."/>
        <s v="Problemas de estructura o textos del portal o web-app."/>
        <s v="Falla en alta a traves de ivr."/>
        <s v="Fallas en puntajes, trivias, creditos, etc."/>
        <s v="Falla en doble optin en sms."/>
        <s v="Contenido desactualizado."/>
        <s v="Inconsistencia en el welcome."/>
        <s v="No funciona la baja desde la lp."/>
        <s v="No funcionan los kw´s especiales (info, puntaje, ayuda, etc)."/>
        <s v="Falla en alta a traves de sim."/>
        <s v="No entrega confirmacion de cobro."/>
        <s v="Falla en lp de suscripción web."/>
        <s v="No llego contenido (no hubo cobro)."/>
        <s v="No funciona la interaccion."/>
        <s v="Dio de baja en sms pero sigue activo en la plataforma."/>
        <s v="Cobro valor diferente al autorizado."/>
        <s v="No funciona el comando de baja."/>
        <s v="409 no cumple con caracteristicas de diseño responsive."/>
        <s v="No envia el mo."/>
        <s v="Inconsistencias en t&amp;c en la lp."/>
        <s v="Inconsistencia en el pin code."/>
        <s v="No llego contenido (si hubo cobro)."/>
        <s v="Inconsistencias en la recurrencia del cobro."/>
        <s v="Llego doble contenido."/>
        <s v="Inconsistencias en textos/fraseologia sms."/>
        <s v="Falla en doble optin en sim."/>
        <s v="Cobro doble vez."/>
        <s v="Llego contenido (no hubo cobro)."/>
        <s v=""/>
        <m/>
      </sharedItems>
    </cacheField>
    <cacheField name="Nivel" numFmtId="0">
      <sharedItems containsBlank="1" count="6">
        <s v="Critico"/>
        <s v="Prueba OK"/>
        <s v="Medio"/>
        <s v="Bajo"/>
        <s v=""/>
        <m/>
      </sharedItems>
    </cacheField>
    <cacheField name="Resultado" numFmtId="0">
      <sharedItems containsBlank="1" count="4">
        <s v="Issue"/>
        <s v="OK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d v="2026-01-24T00:00:00"/>
    <x v="0"/>
    <s v="2026"/>
    <s v="Web"/>
    <x v="0"/>
    <s v="Wasabi - Club 2"/>
    <n v="112"/>
    <x v="0"/>
    <x v="0"/>
    <x v="0"/>
    <x v="0"/>
  </r>
  <r>
    <d v="2026-03-14T00:00:00"/>
    <x v="1"/>
    <s v="2026"/>
    <s v="Wap"/>
    <x v="1"/>
    <s v="Renxo - Club 2"/>
    <n v="400"/>
    <x v="1"/>
    <x v="1"/>
    <x v="1"/>
    <x v="1"/>
  </r>
  <r>
    <d v="2026-03-28T00:00:00"/>
    <x v="1"/>
    <s v="2026"/>
    <s v="Web"/>
    <x v="2"/>
    <s v="Opratel - Club 2"/>
    <n v="400"/>
    <x v="1"/>
    <x v="1"/>
    <x v="1"/>
    <x v="1"/>
  </r>
  <r>
    <d v="2026-01-16T00:00:00"/>
    <x v="0"/>
    <s v="2026"/>
    <s v="Wap"/>
    <x v="3"/>
    <s v="Celcom - Club 3"/>
    <n v="100"/>
    <x v="0"/>
    <x v="2"/>
    <x v="1"/>
    <x v="1"/>
  </r>
  <r>
    <d v="2026-03-31T00:00:00"/>
    <x v="1"/>
    <s v="2026"/>
    <s v="Web"/>
    <x v="4"/>
    <s v="Chocolate - Club 3"/>
    <n v="113"/>
    <x v="0"/>
    <x v="3"/>
    <x v="2"/>
    <x v="0"/>
  </r>
  <r>
    <d v="2026-05-11T00:00:00"/>
    <x v="2"/>
    <s v="2026"/>
    <s v="Wap"/>
    <x v="5"/>
    <s v="T-Mobs - Club 1"/>
    <n v="408"/>
    <x v="1"/>
    <x v="4"/>
    <x v="0"/>
    <x v="0"/>
  </r>
  <r>
    <d v="2026-03-20T00:00:00"/>
    <x v="1"/>
    <s v="2026"/>
    <s v="Wap"/>
    <x v="5"/>
    <s v="T-Mobs - Club 2"/>
    <n v="104"/>
    <x v="0"/>
    <x v="5"/>
    <x v="2"/>
    <x v="0"/>
  </r>
  <r>
    <d v="2026-03-29T00:00:00"/>
    <x v="1"/>
    <s v="2026"/>
    <s v="Otro"/>
    <x v="6"/>
    <s v="airG - Club 2"/>
    <n v="200"/>
    <x v="2"/>
    <x v="6"/>
    <x v="1"/>
    <x v="1"/>
  </r>
  <r>
    <d v="2026-02-02T00:00:00"/>
    <x v="3"/>
    <s v="2026"/>
    <s v="Web"/>
    <x v="7"/>
    <s v="Digevo - Club 2"/>
    <n v="100"/>
    <x v="0"/>
    <x v="2"/>
    <x v="1"/>
    <x v="1"/>
  </r>
  <r>
    <d v="2026-04-08T00:00:00"/>
    <x v="4"/>
    <s v="2026"/>
    <s v="Wap"/>
    <x v="4"/>
    <s v="Chocolate - Club 1"/>
    <n v="113"/>
    <x v="0"/>
    <x v="3"/>
    <x v="2"/>
    <x v="0"/>
  </r>
  <r>
    <d v="2026-03-01T00:00:00"/>
    <x v="1"/>
    <s v="2026"/>
    <s v="Otro"/>
    <x v="8"/>
    <s v="KMD - Club 2"/>
    <n v="101"/>
    <x v="0"/>
    <x v="7"/>
    <x v="0"/>
    <x v="0"/>
  </r>
  <r>
    <d v="2026-05-02T00:00:00"/>
    <x v="2"/>
    <s v="2026"/>
    <s v="Web"/>
    <x v="9"/>
    <s v="Cykadas - Club 2"/>
    <n v="500"/>
    <x v="3"/>
    <x v="8"/>
    <x v="1"/>
    <x v="1"/>
  </r>
  <r>
    <d v="2026-01-18T00:00:00"/>
    <x v="0"/>
    <s v="2026"/>
    <s v="Wap"/>
    <x v="3"/>
    <s v="Celcom - Club 3"/>
    <n v="703"/>
    <x v="4"/>
    <x v="9"/>
    <x v="0"/>
    <x v="0"/>
  </r>
  <r>
    <d v="2026-01-18T00:00:00"/>
    <x v="0"/>
    <s v="2026"/>
    <s v="Web"/>
    <x v="5"/>
    <s v="T-Mobs - Club 3"/>
    <n v="508"/>
    <x v="3"/>
    <x v="10"/>
    <x v="0"/>
    <x v="0"/>
  </r>
  <r>
    <d v="2026-02-08T00:00:00"/>
    <x v="3"/>
    <s v="2026"/>
    <s v="Otro"/>
    <x v="10"/>
    <s v="SocialAst - Club 2"/>
    <n v="107"/>
    <x v="0"/>
    <x v="11"/>
    <x v="0"/>
    <x v="0"/>
  </r>
  <r>
    <d v="2026-05-08T00:00:00"/>
    <x v="2"/>
    <s v="2026"/>
    <s v="Otro"/>
    <x v="11"/>
    <s v="AWG - Club 1"/>
    <n v="402"/>
    <x v="1"/>
    <x v="12"/>
    <x v="0"/>
    <x v="0"/>
  </r>
  <r>
    <d v="2026-02-26T00:00:00"/>
    <x v="3"/>
    <s v="2026"/>
    <s v="Web"/>
    <x v="3"/>
    <s v="Celcom - Club 1"/>
    <n v="104"/>
    <x v="0"/>
    <x v="5"/>
    <x v="2"/>
    <x v="0"/>
  </r>
  <r>
    <d v="2026-05-07T00:00:00"/>
    <x v="2"/>
    <s v="2026"/>
    <s v="Wap"/>
    <x v="12"/>
    <s v="Bennu - Club 1"/>
    <n v="113"/>
    <x v="0"/>
    <x v="3"/>
    <x v="2"/>
    <x v="0"/>
  </r>
  <r>
    <d v="2026-01-27T00:00:00"/>
    <x v="0"/>
    <s v="2026"/>
    <s v="Otro"/>
    <x v="13"/>
    <s v="Zed - Club 1"/>
    <n v="400"/>
    <x v="1"/>
    <x v="1"/>
    <x v="1"/>
    <x v="1"/>
  </r>
  <r>
    <d v="2026-02-26T00:00:00"/>
    <x v="3"/>
    <s v="2026"/>
    <s v="Wap"/>
    <x v="0"/>
    <s v="Wasabi - Club 3"/>
    <n v="507"/>
    <x v="3"/>
    <x v="13"/>
    <x v="0"/>
    <x v="0"/>
  </r>
  <r>
    <d v="2026-01-28T00:00:00"/>
    <x v="0"/>
    <s v="2026"/>
    <s v="Web"/>
    <x v="8"/>
    <s v="KMD - Club 3"/>
    <n v="700"/>
    <x v="4"/>
    <x v="14"/>
    <x v="1"/>
    <x v="1"/>
  </r>
  <r>
    <d v="2026-01-19T00:00:00"/>
    <x v="0"/>
    <s v="2026"/>
    <s v="Wap"/>
    <x v="10"/>
    <s v="SocialAst - Club 2"/>
    <n v="100"/>
    <x v="0"/>
    <x v="2"/>
    <x v="1"/>
    <x v="1"/>
  </r>
  <r>
    <d v="2026-05-04T00:00:00"/>
    <x v="2"/>
    <s v="2026"/>
    <s v="Otro"/>
    <x v="11"/>
    <s v="AWG - Club 1"/>
    <n v="406"/>
    <x v="1"/>
    <x v="15"/>
    <x v="0"/>
    <x v="0"/>
  </r>
  <r>
    <d v="2026-01-07T00:00:00"/>
    <x v="0"/>
    <s v="2026"/>
    <s v="Wap"/>
    <x v="6"/>
    <s v="airG - Club 1"/>
    <n v="401"/>
    <x v="1"/>
    <x v="16"/>
    <x v="0"/>
    <x v="0"/>
  </r>
  <r>
    <d v="2026-01-28T00:00:00"/>
    <x v="0"/>
    <s v="2026"/>
    <s v="Web"/>
    <x v="13"/>
    <s v="Zed - Club 2"/>
    <n v="506"/>
    <x v="3"/>
    <x v="17"/>
    <x v="0"/>
    <x v="0"/>
  </r>
  <r>
    <d v="2026-03-10T00:00:00"/>
    <x v="1"/>
    <s v="2026"/>
    <s v="Web"/>
    <x v="14"/>
    <s v="FaroMobile - Club 2"/>
    <n v="100"/>
    <x v="0"/>
    <x v="2"/>
    <x v="1"/>
    <x v="1"/>
  </r>
  <r>
    <d v="2026-01-02T00:00:00"/>
    <x v="0"/>
    <s v="2026"/>
    <s v="Web"/>
    <x v="7"/>
    <s v="Digevo - Club 1"/>
    <n v="800"/>
    <x v="5"/>
    <x v="18"/>
    <x v="1"/>
    <x v="1"/>
  </r>
  <r>
    <d v="2026-03-08T00:00:00"/>
    <x v="1"/>
    <s v="2026"/>
    <s v="Wap"/>
    <x v="0"/>
    <s v="Wasabi - Club 2"/>
    <n v="101"/>
    <x v="0"/>
    <x v="7"/>
    <x v="0"/>
    <x v="0"/>
  </r>
  <r>
    <d v="2026-01-01T00:00:00"/>
    <x v="0"/>
    <s v="2026"/>
    <s v="Wap"/>
    <x v="7"/>
    <s v="Digevo - Club 2"/>
    <n v="403"/>
    <x v="1"/>
    <x v="19"/>
    <x v="2"/>
    <x v="0"/>
  </r>
  <r>
    <d v="2026-05-12T00:00:00"/>
    <x v="2"/>
    <s v="2026"/>
    <s v="Web"/>
    <x v="0"/>
    <s v="Wasabi - Club 2"/>
    <n v="300"/>
    <x v="6"/>
    <x v="20"/>
    <x v="1"/>
    <x v="1"/>
  </r>
  <r>
    <d v="2026-04-11T00:00:00"/>
    <x v="4"/>
    <s v="2026"/>
    <s v="Sim"/>
    <x v="8"/>
    <s v="KMD - Club 1"/>
    <n v="300"/>
    <x v="6"/>
    <x v="20"/>
    <x v="1"/>
    <x v="1"/>
  </r>
  <r>
    <d v="2026-04-14T00:00:00"/>
    <x v="4"/>
    <s v="2026"/>
    <s v="Web"/>
    <x v="11"/>
    <s v="AWG - Club 1"/>
    <n v="100"/>
    <x v="0"/>
    <x v="2"/>
    <x v="1"/>
    <x v="1"/>
  </r>
  <r>
    <d v="2026-01-31T00:00:00"/>
    <x v="0"/>
    <s v="2026"/>
    <s v="Web"/>
    <x v="8"/>
    <s v="KMD - Club 2"/>
    <n v="204"/>
    <x v="2"/>
    <x v="21"/>
    <x v="0"/>
    <x v="0"/>
  </r>
  <r>
    <d v="2026-03-29T00:00:00"/>
    <x v="1"/>
    <s v="2026"/>
    <s v="Web"/>
    <x v="3"/>
    <s v="Celcom - Club 1"/>
    <n v="210"/>
    <x v="2"/>
    <x v="22"/>
    <x v="0"/>
    <x v="0"/>
  </r>
  <r>
    <d v="2026-05-14T00:00:00"/>
    <x v="2"/>
    <s v="2026"/>
    <s v="Wap"/>
    <x v="10"/>
    <s v="SocialAst - Club 1"/>
    <n v="505"/>
    <x v="3"/>
    <x v="23"/>
    <x v="0"/>
    <x v="0"/>
  </r>
  <r>
    <d v="2026-05-09T00:00:00"/>
    <x v="2"/>
    <s v="2026"/>
    <s v="Wap"/>
    <x v="8"/>
    <s v="KMD - Club 3"/>
    <n v="100"/>
    <x v="0"/>
    <x v="2"/>
    <x v="1"/>
    <x v="1"/>
  </r>
  <r>
    <d v="2026-05-09T00:00:00"/>
    <x v="2"/>
    <s v="2026"/>
    <s v="Otro"/>
    <x v="12"/>
    <s v="Bennu - Club 3"/>
    <n v="703"/>
    <x v="4"/>
    <x v="9"/>
    <x v="0"/>
    <x v="0"/>
  </r>
  <r>
    <d v="2026-03-28T00:00:00"/>
    <x v="1"/>
    <s v="2026"/>
    <s v="Wap"/>
    <x v="4"/>
    <s v="Chocolate - Club 2"/>
    <n v="800"/>
    <x v="5"/>
    <x v="18"/>
    <x v="1"/>
    <x v="1"/>
  </r>
  <r>
    <d v="2026-02-20T00:00:00"/>
    <x v="3"/>
    <s v="2026"/>
    <s v="Web"/>
    <x v="15"/>
    <s v="GPM - Club 1"/>
    <n v="404"/>
    <x v="1"/>
    <x v="24"/>
    <x v="0"/>
    <x v="0"/>
  </r>
  <r>
    <d v="2026-02-21T00:00:00"/>
    <x v="3"/>
    <s v="2026"/>
    <s v="Wap"/>
    <x v="16"/>
    <s v="True Caller - Club 1"/>
    <n v="100"/>
    <x v="0"/>
    <x v="2"/>
    <x v="1"/>
    <x v="1"/>
  </r>
  <r>
    <d v="2026-03-07T00:00:00"/>
    <x v="1"/>
    <s v="2026"/>
    <s v="SMS"/>
    <x v="10"/>
    <s v="SocialAst - Club 3"/>
    <n v="802"/>
    <x v="5"/>
    <x v="25"/>
    <x v="0"/>
    <x v="0"/>
  </r>
  <r>
    <d v="2026-03-16T00:00:00"/>
    <x v="1"/>
    <s v="2026"/>
    <s v="Wap"/>
    <x v="9"/>
    <s v="Cykadas - Club 3"/>
    <n v="307"/>
    <x v="6"/>
    <x v="26"/>
    <x v="0"/>
    <x v="0"/>
  </r>
  <r>
    <d v="2026-05-14T00:00:00"/>
    <x v="2"/>
    <s v="2026"/>
    <s v="Web"/>
    <x v="17"/>
    <s v="Digital Virgo - Club 1"/>
    <n v="300"/>
    <x v="6"/>
    <x v="20"/>
    <x v="1"/>
    <x v="1"/>
  </r>
  <r>
    <d v="2026-02-27T00:00:00"/>
    <x v="3"/>
    <s v="2026"/>
    <s v="Web"/>
    <x v="14"/>
    <s v="FaroMobile - Club 2"/>
    <n v="408"/>
    <x v="1"/>
    <x v="4"/>
    <x v="0"/>
    <x v="0"/>
  </r>
  <r>
    <d v="2026-01-20T00:00:00"/>
    <x v="0"/>
    <s v="2026"/>
    <s v="Web"/>
    <x v="11"/>
    <s v="AWG - Club 2"/>
    <n v="100"/>
    <x v="0"/>
    <x v="2"/>
    <x v="1"/>
    <x v="1"/>
  </r>
  <r>
    <d v="2026-05-14T00:00:00"/>
    <x v="2"/>
    <s v="2026"/>
    <s v="Tienda"/>
    <x v="15"/>
    <s v="GPM - Club 2"/>
    <n v="502"/>
    <x v="3"/>
    <x v="27"/>
    <x v="0"/>
    <x v="0"/>
  </r>
  <r>
    <d v="2026-02-27T00:00:00"/>
    <x v="3"/>
    <s v="2026"/>
    <s v="Otro"/>
    <x v="2"/>
    <s v="Opratel - Club 2"/>
    <n v="801"/>
    <x v="5"/>
    <x v="28"/>
    <x v="0"/>
    <x v="0"/>
  </r>
  <r>
    <d v="2026-04-23T00:00:00"/>
    <x v="4"/>
    <s v="2026"/>
    <s v="Wap"/>
    <x v="15"/>
    <s v="GPM - Club 3"/>
    <n v="400"/>
    <x v="1"/>
    <x v="1"/>
    <x v="1"/>
    <x v="1"/>
  </r>
  <r>
    <d v="2026-02-08T00:00:00"/>
    <x v="3"/>
    <s v="2026"/>
    <s v="Web"/>
    <x v="5"/>
    <s v="T-Mobs - Club 2"/>
    <n v="203"/>
    <x v="2"/>
    <x v="29"/>
    <x v="3"/>
    <x v="0"/>
  </r>
  <r>
    <d v="2026-04-30T00:00:00"/>
    <x v="4"/>
    <s v="2026"/>
    <s v="SAT"/>
    <x v="5"/>
    <s v="T-Mobs - Club 1"/>
    <n v="210"/>
    <x v="2"/>
    <x v="22"/>
    <x v="0"/>
    <x v="0"/>
  </r>
  <r>
    <d v="2026-03-18T00:00:00"/>
    <x v="1"/>
    <s v="2026"/>
    <s v="Web"/>
    <x v="11"/>
    <s v="AWG - Club 2"/>
    <n v="201"/>
    <x v="2"/>
    <x v="30"/>
    <x v="0"/>
    <x v="0"/>
  </r>
  <r>
    <d v="2026-04-22T00:00:00"/>
    <x v="4"/>
    <s v="2026"/>
    <s v="Wap"/>
    <x v="10"/>
    <s v="SocialAst - Club 1"/>
    <n v="700"/>
    <x v="4"/>
    <x v="14"/>
    <x v="1"/>
    <x v="1"/>
  </r>
  <r>
    <d v="2026-01-16T00:00:00"/>
    <x v="0"/>
    <s v="2026"/>
    <s v="Wap"/>
    <x v="3"/>
    <s v="Celcom - Club 2"/>
    <n v="700"/>
    <x v="4"/>
    <x v="14"/>
    <x v="1"/>
    <x v="1"/>
  </r>
  <r>
    <d v="2026-01-21T00:00:00"/>
    <x v="0"/>
    <s v="2026"/>
    <s v="Web"/>
    <x v="10"/>
    <s v="SocialAst - Club 1"/>
    <n v="300"/>
    <x v="6"/>
    <x v="20"/>
    <x v="1"/>
    <x v="1"/>
  </r>
  <r>
    <d v="2026-05-14T00:00:00"/>
    <x v="2"/>
    <s v="2026"/>
    <s v="Sim"/>
    <x v="7"/>
    <s v="Digevo - Club 1"/>
    <n v="109"/>
    <x v="0"/>
    <x v="31"/>
    <x v="2"/>
    <x v="0"/>
  </r>
  <r>
    <d v="2026-01-18T00:00:00"/>
    <x v="0"/>
    <s v="2026"/>
    <s v="Wap"/>
    <x v="17"/>
    <s v="Digital Virgo - Club 1"/>
    <n v="300"/>
    <x v="6"/>
    <x v="20"/>
    <x v="1"/>
    <x v="1"/>
  </r>
  <r>
    <d v="2026-03-21T00:00:00"/>
    <x v="1"/>
    <s v="2026"/>
    <s v="Web"/>
    <x v="9"/>
    <s v="Cykadas - Club 2"/>
    <n v="207"/>
    <x v="2"/>
    <x v="32"/>
    <x v="2"/>
    <x v="0"/>
  </r>
  <r>
    <d v="2026-03-14T00:00:00"/>
    <x v="1"/>
    <s v="2026"/>
    <s v="Wap"/>
    <x v="2"/>
    <s v="Opratel - Club 3"/>
    <n v="204"/>
    <x v="2"/>
    <x v="21"/>
    <x v="0"/>
    <x v="0"/>
  </r>
  <r>
    <d v="2026-03-04T00:00:00"/>
    <x v="1"/>
    <s v="2026"/>
    <s v="Wap"/>
    <x v="13"/>
    <s v="Zed - Club 3"/>
    <n v="700"/>
    <x v="4"/>
    <x v="14"/>
    <x v="1"/>
    <x v="1"/>
  </r>
  <r>
    <d v="2026-02-19T00:00:00"/>
    <x v="3"/>
    <s v="2026"/>
    <s v="Web"/>
    <x v="4"/>
    <s v="Chocolate - Club 1"/>
    <n v="500"/>
    <x v="3"/>
    <x v="8"/>
    <x v="1"/>
    <x v="1"/>
  </r>
  <r>
    <d v="2026-02-16T00:00:00"/>
    <x v="3"/>
    <s v="2026"/>
    <s v="Otro"/>
    <x v="4"/>
    <s v="Chocolate - Club 1"/>
    <n v="702"/>
    <x v="4"/>
    <x v="33"/>
    <x v="0"/>
    <x v="0"/>
  </r>
  <r>
    <d v="2026-03-29T00:00:00"/>
    <x v="1"/>
    <s v="2026"/>
    <s v="Otro"/>
    <x v="8"/>
    <s v="KMD - Club 3"/>
    <n v="700"/>
    <x v="4"/>
    <x v="14"/>
    <x v="1"/>
    <x v="1"/>
  </r>
  <r>
    <d v="2026-04-02T00:00:00"/>
    <x v="4"/>
    <s v="2026"/>
    <s v="SAT"/>
    <x v="7"/>
    <s v="Digevo - Club 2"/>
    <n v="300"/>
    <x v="6"/>
    <x v="20"/>
    <x v="1"/>
    <x v="1"/>
  </r>
  <r>
    <d v="2026-01-15T00:00:00"/>
    <x v="0"/>
    <s v="2026"/>
    <s v="Web"/>
    <x v="4"/>
    <s v="Chocolate - Club 2"/>
    <n v="500"/>
    <x v="3"/>
    <x v="8"/>
    <x v="1"/>
    <x v="1"/>
  </r>
  <r>
    <d v="2026-02-27T00:00:00"/>
    <x v="3"/>
    <s v="2026"/>
    <s v="SAT"/>
    <x v="12"/>
    <s v="Bennu - Club 2"/>
    <n v="205"/>
    <x v="2"/>
    <x v="34"/>
    <x v="0"/>
    <x v="0"/>
  </r>
  <r>
    <d v="2026-03-19T00:00:00"/>
    <x v="1"/>
    <s v="2026"/>
    <s v="Wap"/>
    <x v="14"/>
    <s v="FaroMobile - Club 3"/>
    <n v="405"/>
    <x v="1"/>
    <x v="35"/>
    <x v="2"/>
    <x v="0"/>
  </r>
  <r>
    <d v="2026-04-01T00:00:00"/>
    <x v="4"/>
    <s v="2026"/>
    <s v="Web"/>
    <x v="1"/>
    <s v="Renxo - Club 1"/>
    <n v="110"/>
    <x v="0"/>
    <x v="36"/>
    <x v="0"/>
    <x v="0"/>
  </r>
  <r>
    <d v="2026-02-25T00:00:00"/>
    <x v="3"/>
    <s v="2026"/>
    <s v="Web"/>
    <x v="5"/>
    <s v="T-Mobs - Club 2"/>
    <n v="700"/>
    <x v="4"/>
    <x v="14"/>
    <x v="1"/>
    <x v="1"/>
  </r>
  <r>
    <d v="2026-02-09T00:00:00"/>
    <x v="3"/>
    <s v="2026"/>
    <s v="Otro"/>
    <x v="5"/>
    <s v="T-Mobs - Club 3"/>
    <n v="400"/>
    <x v="1"/>
    <x v="1"/>
    <x v="1"/>
    <x v="1"/>
  </r>
  <r>
    <d v="2026-02-18T00:00:00"/>
    <x v="3"/>
    <s v="2026"/>
    <s v="Web"/>
    <x v="8"/>
    <s v="KMD - Club 2"/>
    <n v="500"/>
    <x v="3"/>
    <x v="8"/>
    <x v="1"/>
    <x v="1"/>
  </r>
  <r>
    <d v="2026-01-29T00:00:00"/>
    <x v="0"/>
    <s v="2026"/>
    <s v="Wap"/>
    <x v="15"/>
    <s v="GPM - Club 2"/>
    <n v="502"/>
    <x v="3"/>
    <x v="27"/>
    <x v="0"/>
    <x v="0"/>
  </r>
  <r>
    <d v="2026-03-05T00:00:00"/>
    <x v="1"/>
    <s v="2026"/>
    <s v="Wap"/>
    <x v="2"/>
    <s v="Opratel - Club 3"/>
    <n v="500"/>
    <x v="3"/>
    <x v="8"/>
    <x v="1"/>
    <x v="1"/>
  </r>
  <r>
    <d v="2026-01-04T00:00:00"/>
    <x v="0"/>
    <s v="2026"/>
    <s v="Web"/>
    <x v="0"/>
    <s v="Wasabi - Club 1"/>
    <n v="704"/>
    <x v="4"/>
    <x v="37"/>
    <x v="0"/>
    <x v="0"/>
  </r>
  <r>
    <d v="2026-03-29T00:00:00"/>
    <x v="1"/>
    <s v="2026"/>
    <s v="Wap"/>
    <x v="3"/>
    <s v="Celcom - Club 3"/>
    <n v="101"/>
    <x v="0"/>
    <x v="7"/>
    <x v="0"/>
    <x v="0"/>
  </r>
  <r>
    <d v="2026-04-20T00:00:00"/>
    <x v="4"/>
    <s v="2026"/>
    <s v="Wap"/>
    <x v="11"/>
    <s v="AWG - Club 1"/>
    <n v="700"/>
    <x v="4"/>
    <x v="14"/>
    <x v="1"/>
    <x v="1"/>
  </r>
  <r>
    <d v="2026-03-24T00:00:00"/>
    <x v="1"/>
    <s v="2026"/>
    <s v="SAT"/>
    <x v="12"/>
    <s v="Bennu - Club 2"/>
    <n v="102"/>
    <x v="0"/>
    <x v="38"/>
    <x v="0"/>
    <x v="0"/>
  </r>
  <r>
    <d v="2026-04-06T00:00:00"/>
    <x v="4"/>
    <s v="2026"/>
    <s v="Wap"/>
    <x v="2"/>
    <s v="Opratel - Club 2"/>
    <n v="500"/>
    <x v="3"/>
    <x v="8"/>
    <x v="1"/>
    <x v="1"/>
  </r>
  <r>
    <d v="2026-04-08T00:00:00"/>
    <x v="4"/>
    <s v="2026"/>
    <s v="Wap"/>
    <x v="11"/>
    <s v="AWG - Club 3"/>
    <n v="400"/>
    <x v="1"/>
    <x v="1"/>
    <x v="1"/>
    <x v="1"/>
  </r>
  <r>
    <d v="2026-05-01T00:00:00"/>
    <x v="2"/>
    <s v="2026"/>
    <s v="Web"/>
    <x v="9"/>
    <s v="Cykadas - Club 3"/>
    <n v="209"/>
    <x v="2"/>
    <x v="39"/>
    <x v="2"/>
    <x v="0"/>
  </r>
  <r>
    <d v="2026-02-23T00:00:00"/>
    <x v="3"/>
    <s v="2026"/>
    <s v="Wap"/>
    <x v="13"/>
    <s v="Zed - Club 3"/>
    <n v="103"/>
    <x v="0"/>
    <x v="40"/>
    <x v="0"/>
    <x v="0"/>
  </r>
  <r>
    <d v="2026-01-01T00:00:00"/>
    <x v="0"/>
    <s v="2026"/>
    <s v="Web"/>
    <x v="6"/>
    <s v="airG - Club 2"/>
    <n v="207"/>
    <x v="2"/>
    <x v="32"/>
    <x v="2"/>
    <x v="0"/>
  </r>
  <r>
    <d v="2026-01-24T00:00:00"/>
    <x v="0"/>
    <s v="2026"/>
    <s v="Wap"/>
    <x v="11"/>
    <s v="AWG - Club 2"/>
    <n v="504"/>
    <x v="3"/>
    <x v="41"/>
    <x v="0"/>
    <x v="0"/>
  </r>
  <r>
    <d v="2026-02-05T00:00:00"/>
    <x v="3"/>
    <s v="2026"/>
    <s v="Web"/>
    <x v="1"/>
    <s v="Renxo - Club 2"/>
    <n v="802"/>
    <x v="5"/>
    <x v="25"/>
    <x v="0"/>
    <x v="0"/>
  </r>
  <r>
    <d v="2026-01-10T00:00:00"/>
    <x v="0"/>
    <s v="2026"/>
    <s v="Wap"/>
    <x v="7"/>
    <s v="Digevo - Club 1"/>
    <n v="507"/>
    <x v="3"/>
    <x v="13"/>
    <x v="0"/>
    <x v="0"/>
  </r>
  <r>
    <d v="2026-03-04T00:00:00"/>
    <x v="1"/>
    <s v="2026"/>
    <s v="Web"/>
    <x v="6"/>
    <s v="airG - Club 2"/>
    <n v="300"/>
    <x v="6"/>
    <x v="20"/>
    <x v="1"/>
    <x v="1"/>
  </r>
  <r>
    <d v="2026-03-17T00:00:00"/>
    <x v="1"/>
    <s v="2026"/>
    <s v="Wap"/>
    <x v="11"/>
    <s v="AWG - Club 1"/>
    <n v="109"/>
    <x v="0"/>
    <x v="31"/>
    <x v="2"/>
    <x v="0"/>
  </r>
  <r>
    <d v="2026-01-12T00:00:00"/>
    <x v="0"/>
    <s v="2026"/>
    <s v="Wap"/>
    <x v="1"/>
    <s v="Renxo - Club 3"/>
    <n v="300"/>
    <x v="6"/>
    <x v="20"/>
    <x v="1"/>
    <x v="1"/>
  </r>
  <r>
    <d v="2026-01-05T00:00:00"/>
    <x v="0"/>
    <s v="2026"/>
    <s v="Wap"/>
    <x v="13"/>
    <s v="Zed - Club 3"/>
    <n v="705"/>
    <x v="4"/>
    <x v="42"/>
    <x v="2"/>
    <x v="0"/>
  </r>
  <r>
    <d v="2026-05-12T00:00:00"/>
    <x v="2"/>
    <s v="2026"/>
    <s v="Wap"/>
    <x v="17"/>
    <s v="Digital Virgo - Club 3"/>
    <n v="111"/>
    <x v="0"/>
    <x v="43"/>
    <x v="0"/>
    <x v="0"/>
  </r>
  <r>
    <d v="2026-02-23T00:00:00"/>
    <x v="3"/>
    <s v="2026"/>
    <s v="Sim"/>
    <x v="10"/>
    <s v="SocialAst - Club 1"/>
    <n v="506"/>
    <x v="3"/>
    <x v="17"/>
    <x v="0"/>
    <x v="0"/>
  </r>
  <r>
    <d v="2026-04-09T00:00:00"/>
    <x v="4"/>
    <s v="2026"/>
    <s v="Wap"/>
    <x v="12"/>
    <s v="Bennu - Club 1"/>
    <n v="700"/>
    <x v="4"/>
    <x v="14"/>
    <x v="1"/>
    <x v="1"/>
  </r>
  <r>
    <d v="2026-03-15T00:00:00"/>
    <x v="1"/>
    <s v="2026"/>
    <s v="Tienda"/>
    <x v="1"/>
    <s v="Renxo - Club 3"/>
    <n v="201"/>
    <x v="2"/>
    <x v="30"/>
    <x v="0"/>
    <x v="0"/>
  </r>
  <r>
    <d v="2026-01-06T00:00:00"/>
    <x v="0"/>
    <s v="2026"/>
    <s v="Web"/>
    <x v="14"/>
    <s v="FaroMobile - Club 2"/>
    <n v="205"/>
    <x v="2"/>
    <x v="34"/>
    <x v="0"/>
    <x v="0"/>
  </r>
  <r>
    <d v="2026-02-18T00:00:00"/>
    <x v="3"/>
    <s v="2026"/>
    <s v="Wap"/>
    <x v="17"/>
    <s v="Digital Virgo - Club 1"/>
    <n v="308"/>
    <x v="6"/>
    <x v="44"/>
    <x v="0"/>
    <x v="0"/>
  </r>
  <r>
    <d v="2026-03-28T00:00:00"/>
    <x v="1"/>
    <s v="2026"/>
    <s v="Web"/>
    <x v="5"/>
    <s v="T-Mobs - Club 1"/>
    <n v="800"/>
    <x v="5"/>
    <x v="18"/>
    <x v="1"/>
    <x v="1"/>
  </r>
  <r>
    <d v="2026-01-24T00:00:00"/>
    <x v="0"/>
    <s v="2026"/>
    <s v="Web"/>
    <x v="6"/>
    <s v="airG - Club 2"/>
    <n v="112"/>
    <x v="0"/>
    <x v="0"/>
    <x v="0"/>
    <x v="0"/>
  </r>
  <r>
    <d v="2026-01-12T00:00:00"/>
    <x v="0"/>
    <s v="2026"/>
    <s v="Wap"/>
    <x v="13"/>
    <s v="Zed - Club 1"/>
    <n v="700"/>
    <x v="4"/>
    <x v="14"/>
    <x v="1"/>
    <x v="1"/>
  </r>
  <r>
    <d v="2026-01-05T00:00:00"/>
    <x v="0"/>
    <s v="2026"/>
    <s v="Otro"/>
    <x v="8"/>
    <s v="KMD - Club 3"/>
    <n v="106"/>
    <x v="0"/>
    <x v="45"/>
    <x v="0"/>
    <x v="0"/>
  </r>
  <r>
    <d v="2026-02-01T00:00:00"/>
    <x v="3"/>
    <s v="2026"/>
    <s v="Web"/>
    <x v="2"/>
    <s v="Opratel - Club 3"/>
    <n v="500"/>
    <x v="3"/>
    <x v="8"/>
    <x v="1"/>
    <x v="1"/>
  </r>
  <r>
    <d v="2026-04-26T00:00:00"/>
    <x v="4"/>
    <s v="2026"/>
    <s v="Sim"/>
    <x v="17"/>
    <s v="Digital Virgo - Club 1"/>
    <n v="700"/>
    <x v="4"/>
    <x v="14"/>
    <x v="1"/>
    <x v="1"/>
  </r>
  <r>
    <d v="2026-02-20T00:00:00"/>
    <x v="3"/>
    <s v="2026"/>
    <s v="Wap"/>
    <x v="8"/>
    <s v="KMD - Club 1"/>
    <n v="300"/>
    <x v="6"/>
    <x v="20"/>
    <x v="1"/>
    <x v="1"/>
  </r>
  <r>
    <d v="2026-05-12T00:00:00"/>
    <x v="2"/>
    <s v="2026"/>
    <s v="Wap"/>
    <x v="17"/>
    <s v="Digital Virgo - Club 3"/>
    <n v="800"/>
    <x v="5"/>
    <x v="18"/>
    <x v="1"/>
    <x v="1"/>
  </r>
  <r>
    <d v="2026-03-26T00:00:00"/>
    <x v="1"/>
    <s v="2026"/>
    <s v="Wap"/>
    <x v="9"/>
    <s v="Cykadas - Club 2"/>
    <n v="302"/>
    <x v="6"/>
    <x v="46"/>
    <x v="0"/>
    <x v="0"/>
  </r>
  <r>
    <d v="2026-03-24T00:00:00"/>
    <x v="1"/>
    <s v="2026"/>
    <s v="Wap"/>
    <x v="13"/>
    <s v="Zed - Club 3"/>
    <n v="700"/>
    <x v="4"/>
    <x v="14"/>
    <x v="1"/>
    <x v="1"/>
  </r>
  <r>
    <d v="2026-04-23T00:00:00"/>
    <x v="4"/>
    <s v="2026"/>
    <s v="Wap"/>
    <x v="17"/>
    <s v="Digital Virgo - Club 1"/>
    <n v="210"/>
    <x v="2"/>
    <x v="22"/>
    <x v="0"/>
    <x v="0"/>
  </r>
  <r>
    <d v="2026-01-18T00:00:00"/>
    <x v="0"/>
    <s v="2026"/>
    <s v="Web"/>
    <x v="2"/>
    <s v="Opratel - Club 3"/>
    <n v="507"/>
    <x v="3"/>
    <x v="13"/>
    <x v="0"/>
    <x v="0"/>
  </r>
  <r>
    <d v="2026-02-08T00:00:00"/>
    <x v="3"/>
    <s v="2026"/>
    <s v="Wap"/>
    <x v="14"/>
    <s v="FaroMobile - Club 2"/>
    <n v="107"/>
    <x v="0"/>
    <x v="11"/>
    <x v="0"/>
    <x v="0"/>
  </r>
  <r>
    <d v="2026-01-03T00:00:00"/>
    <x v="0"/>
    <s v="2026"/>
    <s v="Wap"/>
    <x v="3"/>
    <s v="Celcom - Club 2"/>
    <n v="500"/>
    <x v="3"/>
    <x v="8"/>
    <x v="1"/>
    <x v="1"/>
  </r>
  <r>
    <d v="2026-05-06T00:00:00"/>
    <x v="2"/>
    <s v="2026"/>
    <s v="Web"/>
    <x v="9"/>
    <s v="Cykadas - Club 1"/>
    <n v="200"/>
    <x v="2"/>
    <x v="6"/>
    <x v="1"/>
    <x v="1"/>
  </r>
  <r>
    <d v="2026-03-20T00:00:00"/>
    <x v="1"/>
    <s v="2026"/>
    <s v="Wap"/>
    <x v="11"/>
    <s v="AWG - Club 3"/>
    <n v="300"/>
    <x v="6"/>
    <x v="20"/>
    <x v="1"/>
    <x v="1"/>
  </r>
  <r>
    <d v="2026-02-08T00:00:00"/>
    <x v="3"/>
    <s v="2026"/>
    <s v="Otro"/>
    <x v="14"/>
    <s v="FaroMobile - Club 3"/>
    <n v="703"/>
    <x v="4"/>
    <x v="9"/>
    <x v="0"/>
    <x v="0"/>
  </r>
  <r>
    <d v="2026-03-14T00:00:00"/>
    <x v="1"/>
    <s v="2026"/>
    <s v="Wap"/>
    <x v="7"/>
    <s v="Digevo - Club 2"/>
    <n v="407"/>
    <x v="1"/>
    <x v="47"/>
    <x v="0"/>
    <x v="0"/>
  </r>
  <r>
    <d v="2026-03-15T00:00:00"/>
    <x v="1"/>
    <s v="2026"/>
    <s v="Wap"/>
    <x v="3"/>
    <s v="Celcom - Club 1"/>
    <n v="506"/>
    <x v="3"/>
    <x v="17"/>
    <x v="0"/>
    <x v="0"/>
  </r>
  <r>
    <d v="2026-03-14T00:00:00"/>
    <x v="1"/>
    <s v="2026"/>
    <s v="Web"/>
    <x v="2"/>
    <s v="Opratel - Club 2"/>
    <n v="700"/>
    <x v="4"/>
    <x v="14"/>
    <x v="1"/>
    <x v="1"/>
  </r>
  <r>
    <d v="2026-04-22T00:00:00"/>
    <x v="4"/>
    <s v="2026"/>
    <s v="Wap"/>
    <x v="14"/>
    <s v="FaroMobile - Club 2"/>
    <n v="500"/>
    <x v="3"/>
    <x v="8"/>
    <x v="1"/>
    <x v="1"/>
  </r>
  <r>
    <d v="2026-02-10T00:00:00"/>
    <x v="3"/>
    <s v="2026"/>
    <s v="Web"/>
    <x v="2"/>
    <s v="Opratel - Club 1"/>
    <n v="700"/>
    <x v="4"/>
    <x v="14"/>
    <x v="1"/>
    <x v="1"/>
  </r>
  <r>
    <d v="2026-02-03T00:00:00"/>
    <x v="3"/>
    <s v="2026"/>
    <s v="Wap"/>
    <x v="8"/>
    <s v="KMD - Club 1"/>
    <n v="300"/>
    <x v="6"/>
    <x v="20"/>
    <x v="1"/>
    <x v="1"/>
  </r>
  <r>
    <d v="2026-01-19T00:00:00"/>
    <x v="0"/>
    <s v="2026"/>
    <s v="Web"/>
    <x v="16"/>
    <s v="True Caller - Club 1"/>
    <n v="700"/>
    <x v="4"/>
    <x v="14"/>
    <x v="1"/>
    <x v="1"/>
  </r>
  <r>
    <d v="2026-03-31T00:00:00"/>
    <x v="1"/>
    <s v="2026"/>
    <s v="Web"/>
    <x v="13"/>
    <s v="Zed - Club 3"/>
    <n v="500"/>
    <x v="3"/>
    <x v="8"/>
    <x v="1"/>
    <x v="1"/>
  </r>
  <r>
    <d v="2026-03-15T00:00:00"/>
    <x v="1"/>
    <s v="2026"/>
    <s v="Web"/>
    <x v="15"/>
    <s v="GPM - Club 1"/>
    <n v="503"/>
    <x v="3"/>
    <x v="48"/>
    <x v="0"/>
    <x v="0"/>
  </r>
  <r>
    <d v="2026-02-20T00:00:00"/>
    <x v="3"/>
    <s v="2026"/>
    <s v="Web"/>
    <x v="4"/>
    <s v="Chocolate - Club 2"/>
    <n v="700"/>
    <x v="4"/>
    <x v="14"/>
    <x v="1"/>
    <x v="1"/>
  </r>
  <r>
    <d v="2026-04-14T00:00:00"/>
    <x v="4"/>
    <s v="2026"/>
    <s v="SAT"/>
    <x v="11"/>
    <s v="AWG - Club 2"/>
    <n v="500"/>
    <x v="3"/>
    <x v="8"/>
    <x v="1"/>
    <x v="1"/>
  </r>
  <r>
    <d v="2026-01-13T00:00:00"/>
    <x v="0"/>
    <s v="2026"/>
    <s v="Web"/>
    <x v="2"/>
    <s v="Opratel - Club 1"/>
    <n v="300"/>
    <x v="6"/>
    <x v="20"/>
    <x v="1"/>
    <x v="1"/>
  </r>
  <r>
    <d v="2026-01-22T00:00:00"/>
    <x v="0"/>
    <s v="2026"/>
    <s v="Wap"/>
    <x v="4"/>
    <s v="Chocolate - Club 1"/>
    <n v="700"/>
    <x v="4"/>
    <x v="14"/>
    <x v="1"/>
    <x v="1"/>
  </r>
  <r>
    <d v="2026-03-20T00:00:00"/>
    <x v="1"/>
    <s v="2026"/>
    <s v="Wap"/>
    <x v="1"/>
    <s v="Renxo - Club 1"/>
    <n v="800"/>
    <x v="5"/>
    <x v="18"/>
    <x v="1"/>
    <x v="1"/>
  </r>
  <r>
    <d v="2026-02-28T00:00:00"/>
    <x v="3"/>
    <s v="2026"/>
    <s v="Web"/>
    <x v="11"/>
    <s v="AWG - Club 1"/>
    <n v="204"/>
    <x v="2"/>
    <x v="21"/>
    <x v="0"/>
    <x v="0"/>
  </r>
  <r>
    <d v="2026-04-30T00:00:00"/>
    <x v="4"/>
    <s v="2026"/>
    <s v="Web"/>
    <x v="0"/>
    <s v="Wasabi - Club 1"/>
    <n v="304"/>
    <x v="6"/>
    <x v="49"/>
    <x v="0"/>
    <x v="0"/>
  </r>
  <r>
    <d v="2026-04-17T00:00:00"/>
    <x v="4"/>
    <s v="2026"/>
    <s v="Web"/>
    <x v="16"/>
    <s v="True Caller - Club 3"/>
    <n v="300"/>
    <x v="6"/>
    <x v="20"/>
    <x v="1"/>
    <x v="1"/>
  </r>
  <r>
    <d v="2026-02-06T00:00:00"/>
    <x v="3"/>
    <s v="2026"/>
    <s v="Web"/>
    <x v="8"/>
    <s v="KMD - Club 2"/>
    <n v="205"/>
    <x v="2"/>
    <x v="34"/>
    <x v="0"/>
    <x v="0"/>
  </r>
  <r>
    <d v="2026-01-03T00:00:00"/>
    <x v="0"/>
    <s v="2026"/>
    <s v="Wap"/>
    <x v="1"/>
    <s v="Renxo - Club 2"/>
    <n v="400"/>
    <x v="1"/>
    <x v="1"/>
    <x v="1"/>
    <x v="1"/>
  </r>
  <r>
    <d v="2026-03-31T00:00:00"/>
    <x v="1"/>
    <s v="2026"/>
    <s v="Web"/>
    <x v="13"/>
    <s v="Zed - Club 2"/>
    <n v="501"/>
    <x v="3"/>
    <x v="50"/>
    <x v="0"/>
    <x v="0"/>
  </r>
  <r>
    <d v="2026-02-20T00:00:00"/>
    <x v="3"/>
    <s v="2026"/>
    <s v="Web"/>
    <x v="9"/>
    <s v="Cykadas - Club 1"/>
    <n v="502"/>
    <x v="3"/>
    <x v="27"/>
    <x v="0"/>
    <x v="0"/>
  </r>
  <r>
    <d v="2026-04-08T00:00:00"/>
    <x v="4"/>
    <s v="2026"/>
    <s v="Web"/>
    <x v="8"/>
    <s v="KMD - Club 3"/>
    <n v="500"/>
    <x v="3"/>
    <x v="8"/>
    <x v="1"/>
    <x v="1"/>
  </r>
  <r>
    <d v="2026-02-01T00:00:00"/>
    <x v="3"/>
    <s v="2026"/>
    <s v="Web"/>
    <x v="14"/>
    <s v="FaroMobile - Club 3"/>
    <n v="403"/>
    <x v="1"/>
    <x v="19"/>
    <x v="2"/>
    <x v="0"/>
  </r>
  <r>
    <d v="2026-02-28T00:00:00"/>
    <x v="3"/>
    <s v="2026"/>
    <s v="Wap"/>
    <x v="6"/>
    <s v="airG - Club 3"/>
    <n v="203"/>
    <x v="2"/>
    <x v="29"/>
    <x v="3"/>
    <x v="0"/>
  </r>
  <r>
    <d v="2026-01-20T00:00:00"/>
    <x v="0"/>
    <s v="2026"/>
    <s v="Wap"/>
    <x v="6"/>
    <s v="airG - Club 3"/>
    <n v="103"/>
    <x v="0"/>
    <x v="40"/>
    <x v="0"/>
    <x v="0"/>
  </r>
  <r>
    <d v="2026-05-06T00:00:00"/>
    <x v="2"/>
    <s v="2026"/>
    <s v="Web"/>
    <x v="17"/>
    <s v="Digital Virgo - Club 2"/>
    <n v="208"/>
    <x v="2"/>
    <x v="24"/>
    <x v="0"/>
    <x v="0"/>
  </r>
  <r>
    <d v="2026-01-11T00:00:00"/>
    <x v="0"/>
    <s v="2026"/>
    <s v="Web"/>
    <x v="11"/>
    <s v="AWG - Club 3"/>
    <n v="502"/>
    <x v="3"/>
    <x v="27"/>
    <x v="0"/>
    <x v="0"/>
  </r>
  <r>
    <d v="2026-02-26T00:00:00"/>
    <x v="3"/>
    <s v="2026"/>
    <s v="Web"/>
    <x v="11"/>
    <s v="AWG - Club 2"/>
    <n v="304"/>
    <x v="6"/>
    <x v="49"/>
    <x v="0"/>
    <x v="0"/>
  </r>
  <r>
    <d v="2026-02-11T00:00:00"/>
    <x v="3"/>
    <s v="2026"/>
    <s v="Web"/>
    <x v="15"/>
    <s v="GPM - Club 3"/>
    <n v="200"/>
    <x v="2"/>
    <x v="6"/>
    <x v="1"/>
    <x v="1"/>
  </r>
  <r>
    <d v="2026-04-10T00:00:00"/>
    <x v="4"/>
    <s v="2026"/>
    <s v="Web"/>
    <x v="3"/>
    <s v="Celcom - Club 1"/>
    <n v="200"/>
    <x v="2"/>
    <x v="6"/>
    <x v="1"/>
    <x v="1"/>
  </r>
  <r>
    <d v="2026-04-06T00:00:00"/>
    <x v="4"/>
    <s v="2026"/>
    <s v="Web"/>
    <x v="3"/>
    <s v="Celcom - Club 2"/>
    <n v="207"/>
    <x v="2"/>
    <x v="32"/>
    <x v="2"/>
    <x v="0"/>
  </r>
  <r>
    <d v="2026-01-06T00:00:00"/>
    <x v="0"/>
    <s v="2026"/>
    <s v="Web"/>
    <x v="9"/>
    <s v="Cykadas - Club 2"/>
    <n v="700"/>
    <x v="4"/>
    <x v="14"/>
    <x v="1"/>
    <x v="1"/>
  </r>
  <r>
    <d v="2026-02-22T00:00:00"/>
    <x v="3"/>
    <s v="2026"/>
    <s v="Web"/>
    <x v="14"/>
    <s v="FaroMobile - Club 3"/>
    <n v="203"/>
    <x v="2"/>
    <x v="29"/>
    <x v="3"/>
    <x v="0"/>
  </r>
  <r>
    <d v="2026-01-08T00:00:00"/>
    <x v="0"/>
    <s v="2026"/>
    <s v="Sim"/>
    <x v="3"/>
    <s v="Celcom - Club 2"/>
    <n v="300"/>
    <x v="6"/>
    <x v="20"/>
    <x v="1"/>
    <x v="1"/>
  </r>
  <r>
    <d v="2026-03-24T00:00:00"/>
    <x v="1"/>
    <s v="2026"/>
    <s v="SAT"/>
    <x v="16"/>
    <s v="True Caller - Club 2"/>
    <n v="409"/>
    <x v="1"/>
    <x v="51"/>
    <x v="0"/>
    <x v="0"/>
  </r>
  <r>
    <d v="2026-03-25T00:00:00"/>
    <x v="1"/>
    <s v="2026"/>
    <s v="Web"/>
    <x v="3"/>
    <s v="Celcom - Club 2"/>
    <n v="405"/>
    <x v="1"/>
    <x v="35"/>
    <x v="2"/>
    <x v="0"/>
  </r>
  <r>
    <d v="2026-02-28T00:00:00"/>
    <x v="3"/>
    <s v="2026"/>
    <s v="Web"/>
    <x v="6"/>
    <s v="airG - Club 1"/>
    <n v="300"/>
    <x v="6"/>
    <x v="20"/>
    <x v="1"/>
    <x v="1"/>
  </r>
  <r>
    <d v="2026-01-28T00:00:00"/>
    <x v="0"/>
    <s v="2026"/>
    <s v="Web"/>
    <x v="7"/>
    <s v="Digevo - Club 2"/>
    <n v="404"/>
    <x v="1"/>
    <x v="24"/>
    <x v="0"/>
    <x v="0"/>
  </r>
  <r>
    <d v="2026-05-06T00:00:00"/>
    <x v="2"/>
    <s v="2026"/>
    <s v="Wap"/>
    <x v="0"/>
    <s v="Wasabi - Club 3"/>
    <n v="408"/>
    <x v="1"/>
    <x v="4"/>
    <x v="0"/>
    <x v="0"/>
  </r>
  <r>
    <d v="2026-01-18T00:00:00"/>
    <x v="0"/>
    <s v="2026"/>
    <s v="Web"/>
    <x v="1"/>
    <s v="Renxo - Club 2"/>
    <n v="300"/>
    <x v="6"/>
    <x v="20"/>
    <x v="1"/>
    <x v="1"/>
  </r>
  <r>
    <d v="2026-03-19T00:00:00"/>
    <x v="1"/>
    <s v="2026"/>
    <s v="Wap"/>
    <x v="4"/>
    <s v="Chocolate - Club 2"/>
    <n v="503"/>
    <x v="3"/>
    <x v="48"/>
    <x v="0"/>
    <x v="0"/>
  </r>
  <r>
    <d v="2026-02-18T00:00:00"/>
    <x v="3"/>
    <s v="2026"/>
    <s v="Web"/>
    <x v="13"/>
    <s v="Zed - Club 1"/>
    <n v="100"/>
    <x v="0"/>
    <x v="2"/>
    <x v="1"/>
    <x v="1"/>
  </r>
  <r>
    <d v="2026-05-07T00:00:00"/>
    <x v="2"/>
    <s v="2026"/>
    <s v="Wap"/>
    <x v="2"/>
    <s v="Opratel - Club 2"/>
    <n v="500"/>
    <x v="3"/>
    <x v="8"/>
    <x v="1"/>
    <x v="1"/>
  </r>
  <r>
    <d v="2026-03-19T00:00:00"/>
    <x v="1"/>
    <s v="2026"/>
    <s v="Sim"/>
    <x v="2"/>
    <s v="Opratel - Club 1"/>
    <n v="400"/>
    <x v="1"/>
    <x v="1"/>
    <x v="1"/>
    <x v="1"/>
  </r>
  <r>
    <d v="2026-02-23T00:00:00"/>
    <x v="3"/>
    <s v="2026"/>
    <s v="Web"/>
    <x v="7"/>
    <s v="Digevo - Club 2"/>
    <n v="800"/>
    <x v="5"/>
    <x v="18"/>
    <x v="1"/>
    <x v="1"/>
  </r>
  <r>
    <d v="2026-01-31T00:00:00"/>
    <x v="0"/>
    <s v="2026"/>
    <s v="Web"/>
    <x v="17"/>
    <s v="Digital Virgo - Club 3"/>
    <n v="300"/>
    <x v="6"/>
    <x v="20"/>
    <x v="1"/>
    <x v="1"/>
  </r>
  <r>
    <d v="2026-01-30T00:00:00"/>
    <x v="0"/>
    <s v="2026"/>
    <s v="Web"/>
    <x v="12"/>
    <s v="Bennu - Club 2"/>
    <n v="403"/>
    <x v="1"/>
    <x v="19"/>
    <x v="2"/>
    <x v="0"/>
  </r>
  <r>
    <d v="2026-05-12T00:00:00"/>
    <x v="2"/>
    <s v="2026"/>
    <s v="Otro"/>
    <x v="13"/>
    <s v="Zed - Club 2"/>
    <n v="406"/>
    <x v="1"/>
    <x v="15"/>
    <x v="0"/>
    <x v="0"/>
  </r>
  <r>
    <d v="2026-04-28T00:00:00"/>
    <x v="4"/>
    <s v="2026"/>
    <s v="Otro"/>
    <x v="3"/>
    <s v="Celcom - Club 1"/>
    <n v="506"/>
    <x v="3"/>
    <x v="17"/>
    <x v="0"/>
    <x v="0"/>
  </r>
  <r>
    <d v="2026-02-10T00:00:00"/>
    <x v="3"/>
    <s v="2026"/>
    <s v="Web"/>
    <x v="15"/>
    <s v="GPM - Club 3"/>
    <n v="701"/>
    <x v="4"/>
    <x v="52"/>
    <x v="0"/>
    <x v="0"/>
  </r>
  <r>
    <d v="2026-03-30T00:00:00"/>
    <x v="1"/>
    <s v="2026"/>
    <s v="Wap"/>
    <x v="15"/>
    <s v="GPM - Club 2"/>
    <n v="200"/>
    <x v="2"/>
    <x v="6"/>
    <x v="1"/>
    <x v="1"/>
  </r>
  <r>
    <d v="2026-01-13T00:00:00"/>
    <x v="0"/>
    <s v="2026"/>
    <s v="Web"/>
    <x v="8"/>
    <s v="KMD - Club 2"/>
    <n v="108"/>
    <x v="0"/>
    <x v="53"/>
    <x v="0"/>
    <x v="0"/>
  </r>
  <r>
    <d v="2026-01-29T00:00:00"/>
    <x v="0"/>
    <s v="2026"/>
    <s v="Wap"/>
    <x v="4"/>
    <s v="Chocolate - Club 1"/>
    <n v="111"/>
    <x v="0"/>
    <x v="43"/>
    <x v="0"/>
    <x v="0"/>
  </r>
  <r>
    <d v="2026-04-24T00:00:00"/>
    <x v="4"/>
    <s v="2026"/>
    <s v="Web"/>
    <x v="15"/>
    <s v="GPM - Club 2"/>
    <n v="111"/>
    <x v="0"/>
    <x v="43"/>
    <x v="0"/>
    <x v="0"/>
  </r>
  <r>
    <d v="2026-03-14T00:00:00"/>
    <x v="1"/>
    <s v="2026"/>
    <s v="Web"/>
    <x v="9"/>
    <s v="Cykadas - Club 1"/>
    <n v="300"/>
    <x v="6"/>
    <x v="20"/>
    <x v="1"/>
    <x v="1"/>
  </r>
  <r>
    <d v="2026-01-07T00:00:00"/>
    <x v="0"/>
    <s v="2026"/>
    <s v="Tienda"/>
    <x v="2"/>
    <s v="Opratel - Club 2"/>
    <n v="500"/>
    <x v="3"/>
    <x v="8"/>
    <x v="1"/>
    <x v="1"/>
  </r>
  <r>
    <d v="2026-01-21T00:00:00"/>
    <x v="0"/>
    <s v="2026"/>
    <s v="Wap"/>
    <x v="9"/>
    <s v="Cykadas - Club 2"/>
    <n v="205"/>
    <x v="2"/>
    <x v="34"/>
    <x v="0"/>
    <x v="0"/>
  </r>
  <r>
    <d v="2026-02-03T00:00:00"/>
    <x v="3"/>
    <s v="2026"/>
    <s v="Web"/>
    <x v="17"/>
    <s v="Digital Virgo - Club 3"/>
    <n v="700"/>
    <x v="4"/>
    <x v="14"/>
    <x v="1"/>
    <x v="1"/>
  </r>
  <r>
    <d v="2026-01-31T00:00:00"/>
    <x v="0"/>
    <s v="2026"/>
    <s v="Web"/>
    <x v="2"/>
    <s v="Opratel - Club 1"/>
    <n v="100"/>
    <x v="0"/>
    <x v="2"/>
    <x v="1"/>
    <x v="1"/>
  </r>
  <r>
    <d v="2026-03-25T00:00:00"/>
    <x v="1"/>
    <s v="2026"/>
    <s v="Web"/>
    <x v="9"/>
    <s v="Cykadas - Club 3"/>
    <n v="800"/>
    <x v="5"/>
    <x v="18"/>
    <x v="1"/>
    <x v="1"/>
  </r>
  <r>
    <d v="2026-01-10T00:00:00"/>
    <x v="0"/>
    <s v="2026"/>
    <s v="Web"/>
    <x v="8"/>
    <s v="KMD - Club 1"/>
    <n v="400"/>
    <x v="1"/>
    <x v="1"/>
    <x v="1"/>
    <x v="1"/>
  </r>
  <r>
    <d v="2026-03-29T00:00:00"/>
    <x v="1"/>
    <s v="2026"/>
    <s v="Wap"/>
    <x v="16"/>
    <s v="True Caller - Club 2"/>
    <n v="201"/>
    <x v="2"/>
    <x v="30"/>
    <x v="0"/>
    <x v="0"/>
  </r>
  <r>
    <d v="2026-04-23T00:00:00"/>
    <x v="4"/>
    <s v="2026"/>
    <s v="Web"/>
    <x v="10"/>
    <s v="SocialAst - Club 3"/>
    <n v="800"/>
    <x v="5"/>
    <x v="18"/>
    <x v="1"/>
    <x v="1"/>
  </r>
  <r>
    <d v="2026-01-22T00:00:00"/>
    <x v="0"/>
    <s v="2026"/>
    <s v="Wap"/>
    <x v="8"/>
    <s v="KMD - Club 2"/>
    <n v="200"/>
    <x v="2"/>
    <x v="6"/>
    <x v="1"/>
    <x v="1"/>
  </r>
  <r>
    <d v="2026-02-16T00:00:00"/>
    <x v="3"/>
    <s v="2026"/>
    <s v="Wap"/>
    <x v="12"/>
    <s v="Bennu - Club 3"/>
    <n v="105"/>
    <x v="0"/>
    <x v="54"/>
    <x v="2"/>
    <x v="0"/>
  </r>
  <r>
    <d v="2026-03-03T00:00:00"/>
    <x v="1"/>
    <s v="2026"/>
    <s v="Wap"/>
    <x v="0"/>
    <s v="Wasabi - Club 3"/>
    <n v="700"/>
    <x v="4"/>
    <x v="14"/>
    <x v="1"/>
    <x v="1"/>
  </r>
  <r>
    <d v="2026-02-20T00:00:00"/>
    <x v="3"/>
    <s v="2026"/>
    <s v="Web"/>
    <x v="12"/>
    <s v="Bennu - Club 3"/>
    <n v="800"/>
    <x v="5"/>
    <x v="18"/>
    <x v="1"/>
    <x v="1"/>
  </r>
  <r>
    <d v="2026-02-01T00:00:00"/>
    <x v="3"/>
    <s v="2026"/>
    <s v="Wap"/>
    <x v="7"/>
    <s v="Digevo - Club 2"/>
    <n v="400"/>
    <x v="1"/>
    <x v="1"/>
    <x v="1"/>
    <x v="1"/>
  </r>
  <r>
    <d v="2026-04-29T00:00:00"/>
    <x v="4"/>
    <s v="2026"/>
    <s v="Web"/>
    <x v="15"/>
    <s v="GPM - Club 1"/>
    <n v="108"/>
    <x v="0"/>
    <x v="53"/>
    <x v="0"/>
    <x v="0"/>
  </r>
  <r>
    <d v="2026-02-24T00:00:00"/>
    <x v="3"/>
    <s v="2026"/>
    <s v="Web"/>
    <x v="8"/>
    <s v="KMD - Club 1"/>
    <n v="207"/>
    <x v="2"/>
    <x v="32"/>
    <x v="2"/>
    <x v="0"/>
  </r>
  <r>
    <d v="2026-05-09T00:00:00"/>
    <x v="2"/>
    <s v="2026"/>
    <s v="Otro"/>
    <x v="13"/>
    <s v="Zed - Club 1"/>
    <n v="113"/>
    <x v="0"/>
    <x v="3"/>
    <x v="2"/>
    <x v="0"/>
  </r>
  <r>
    <d v="2026-05-08T00:00:00"/>
    <x v="2"/>
    <s v="2026"/>
    <s v="Web"/>
    <x v="3"/>
    <s v="Celcom - Club 2"/>
    <n v="109"/>
    <x v="0"/>
    <x v="31"/>
    <x v="2"/>
    <x v="0"/>
  </r>
  <r>
    <d v="2026-04-03T00:00:00"/>
    <x v="4"/>
    <s v="2026"/>
    <s v="Otro"/>
    <x v="9"/>
    <s v="Cykadas - Club 3"/>
    <n v="800"/>
    <x v="5"/>
    <x v="18"/>
    <x v="1"/>
    <x v="1"/>
  </r>
  <r>
    <d v="2026-03-02T00:00:00"/>
    <x v="1"/>
    <s v="2026"/>
    <s v="Web"/>
    <x v="12"/>
    <s v="Bennu - Club 3"/>
    <n v="112"/>
    <x v="0"/>
    <x v="0"/>
    <x v="0"/>
    <x v="0"/>
  </r>
  <r>
    <d v="2026-05-09T00:00:00"/>
    <x v="2"/>
    <s v="2026"/>
    <s v="Web"/>
    <x v="7"/>
    <s v="Digevo - Club 3"/>
    <n v="705"/>
    <x v="4"/>
    <x v="42"/>
    <x v="2"/>
    <x v="0"/>
  </r>
  <r>
    <d v="2026-05-09T00:00:00"/>
    <x v="2"/>
    <s v="2026"/>
    <s v="Web"/>
    <x v="4"/>
    <s v="Chocolate - Club 1"/>
    <n v="800"/>
    <x v="5"/>
    <x v="18"/>
    <x v="1"/>
    <x v="1"/>
  </r>
  <r>
    <d v="2026-01-27T00:00:00"/>
    <x v="0"/>
    <s v="2026"/>
    <s v="Wap"/>
    <x v="7"/>
    <s v="Digevo - Club 1"/>
    <n v="704"/>
    <x v="4"/>
    <x v="37"/>
    <x v="0"/>
    <x v="0"/>
  </r>
  <r>
    <d v="2026-04-28T00:00:00"/>
    <x v="4"/>
    <s v="2026"/>
    <s v="Wap"/>
    <x v="17"/>
    <s v="Digital Virgo - Club 3"/>
    <n v="802"/>
    <x v="5"/>
    <x v="25"/>
    <x v="0"/>
    <x v="0"/>
  </r>
  <r>
    <d v="2026-05-09T00:00:00"/>
    <x v="2"/>
    <s v="2026"/>
    <s v="Web"/>
    <x v="16"/>
    <s v="True Caller - Club 3"/>
    <n v="301"/>
    <x v="6"/>
    <x v="55"/>
    <x v="0"/>
    <x v="0"/>
  </r>
  <r>
    <d v="2026-04-19T00:00:00"/>
    <x v="4"/>
    <s v="2026"/>
    <s v="Sim"/>
    <x v="8"/>
    <s v="KMD - Club 2"/>
    <n v="200"/>
    <x v="2"/>
    <x v="6"/>
    <x v="1"/>
    <x v="1"/>
  </r>
  <r>
    <d v="2026-03-17T00:00:00"/>
    <x v="1"/>
    <s v="2026"/>
    <s v="Wap"/>
    <x v="15"/>
    <s v="GPM - Club 3"/>
    <n v="506"/>
    <x v="3"/>
    <x v="17"/>
    <x v="0"/>
    <x v="0"/>
  </r>
  <r>
    <d v="2026-05-04T00:00:00"/>
    <x v="2"/>
    <s v="2026"/>
    <s v="Wap"/>
    <x v="2"/>
    <s v="Opratel - Club 1"/>
    <n v="300"/>
    <x v="6"/>
    <x v="20"/>
    <x v="1"/>
    <x v="1"/>
  </r>
  <r>
    <d v="2026-01-30T00:00:00"/>
    <x v="0"/>
    <s v="2026"/>
    <s v="Wap"/>
    <x v="14"/>
    <s v="FaroMobile - Club 1"/>
    <n v="300"/>
    <x v="6"/>
    <x v="20"/>
    <x v="1"/>
    <x v="1"/>
  </r>
  <r>
    <d v="2026-03-07T00:00:00"/>
    <x v="1"/>
    <s v="2026"/>
    <s v="Wap"/>
    <x v="4"/>
    <s v="Chocolate - Club 3"/>
    <n v="100"/>
    <x v="0"/>
    <x v="2"/>
    <x v="1"/>
    <x v="1"/>
  </r>
  <r>
    <d v="2026-02-23T00:00:00"/>
    <x v="3"/>
    <s v="2026"/>
    <s v="Web"/>
    <x v="15"/>
    <s v="GPM - Club 2"/>
    <n v="112"/>
    <x v="0"/>
    <x v="0"/>
    <x v="0"/>
    <x v="0"/>
  </r>
  <r>
    <d v="2026-04-18T00:00:00"/>
    <x v="4"/>
    <s v="2026"/>
    <s v="Web"/>
    <x v="12"/>
    <s v="Bennu - Club 2"/>
    <n v="200"/>
    <x v="2"/>
    <x v="6"/>
    <x v="1"/>
    <x v="1"/>
  </r>
  <r>
    <d v="2026-02-22T00:00:00"/>
    <x v="3"/>
    <s v="2026"/>
    <s v="Wap"/>
    <x v="11"/>
    <s v="AWG - Club 2"/>
    <n v="203"/>
    <x v="2"/>
    <x v="29"/>
    <x v="3"/>
    <x v="0"/>
  </r>
  <r>
    <d v="2026-05-06T00:00:00"/>
    <x v="2"/>
    <s v="2026"/>
    <s v="Web"/>
    <x v="11"/>
    <s v="AWG - Club 3"/>
    <n v="201"/>
    <x v="2"/>
    <x v="30"/>
    <x v="0"/>
    <x v="0"/>
  </r>
  <r>
    <d v="2026-01-02T00:00:00"/>
    <x v="0"/>
    <s v="2026"/>
    <s v="Wap"/>
    <x v="14"/>
    <s v="FaroMobile - Club 1"/>
    <n v="100"/>
    <x v="0"/>
    <x v="2"/>
    <x v="1"/>
    <x v="1"/>
  </r>
  <r>
    <d v="2026-03-19T00:00:00"/>
    <x v="1"/>
    <s v="2026"/>
    <s v="Web"/>
    <x v="16"/>
    <s v="True Caller - Club 1"/>
    <n v="703"/>
    <x v="4"/>
    <x v="9"/>
    <x v="0"/>
    <x v="0"/>
  </r>
  <r>
    <d v="2026-02-26T00:00:00"/>
    <x v="3"/>
    <s v="2026"/>
    <s v="Web"/>
    <x v="3"/>
    <s v="Celcom - Club 2"/>
    <n v="500"/>
    <x v="3"/>
    <x v="14"/>
    <x v="1"/>
    <x v="1"/>
  </r>
  <r>
    <d v="2026-05-04T00:00:00"/>
    <x v="2"/>
    <s v="2026"/>
    <s v="Wap"/>
    <x v="15"/>
    <s v="GPM - Club 2"/>
    <n v="403"/>
    <x v="1"/>
    <x v="2"/>
    <x v="1"/>
    <x v="1"/>
  </r>
  <r>
    <d v="2026-03-01T00:00:00"/>
    <x v="1"/>
    <s v="2026"/>
    <s v="Tienda"/>
    <x v="14"/>
    <s v="FaroMobile - Club 3"/>
    <n v="300"/>
    <x v="6"/>
    <x v="26"/>
    <x v="0"/>
    <x v="0"/>
  </r>
  <r>
    <d v="2026-05-03T00:00:00"/>
    <x v="2"/>
    <s v="2026"/>
    <s v="Web"/>
    <x v="14"/>
    <s v="FaroMobile - Club 1"/>
    <n v="700"/>
    <x v="4"/>
    <x v="29"/>
    <x v="3"/>
    <x v="0"/>
  </r>
  <r>
    <d v="2026-04-14T00:00:00"/>
    <x v="4"/>
    <s v="2026"/>
    <s v="Web"/>
    <x v="9"/>
    <s v="Cykadas - Club 1"/>
    <n v="700"/>
    <x v="4"/>
    <x v="21"/>
    <x v="0"/>
    <x v="0"/>
  </r>
  <r>
    <d v="2026-02-26T00:00:00"/>
    <x v="3"/>
    <s v="2026"/>
    <s v="Web"/>
    <x v="17"/>
    <s v="Digital Virgo - Club 1"/>
    <n v="100"/>
    <x v="0"/>
    <x v="20"/>
    <x v="1"/>
    <x v="1"/>
  </r>
  <r>
    <d v="2026-02-26T00:00:00"/>
    <x v="3"/>
    <s v="2026"/>
    <s v="Wap"/>
    <x v="7"/>
    <s v="Digevo - Club 1"/>
    <n v="301"/>
    <x v="6"/>
    <x v="44"/>
    <x v="0"/>
    <x v="0"/>
  </r>
  <r>
    <d v="2026-03-30T00:00:00"/>
    <x v="1"/>
    <s v="2026"/>
    <s v="Otro"/>
    <x v="14"/>
    <s v="FaroMobile - Club 3"/>
    <n v="300"/>
    <x v="6"/>
    <x v="20"/>
    <x v="1"/>
    <x v="1"/>
  </r>
  <r>
    <d v="2026-03-31T00:00:00"/>
    <x v="1"/>
    <s v="2026"/>
    <s v="Web"/>
    <x v="3"/>
    <s v="Celcom - Club 1"/>
    <n v="301"/>
    <x v="6"/>
    <x v="55"/>
    <x v="0"/>
    <x v="0"/>
  </r>
  <r>
    <d v="2026-03-17T00:00:00"/>
    <x v="1"/>
    <s v="2026"/>
    <s v="Web"/>
    <x v="9"/>
    <s v="Cykadas - Club 3"/>
    <n v="301"/>
    <x v="6"/>
    <x v="55"/>
    <x v="0"/>
    <x v="0"/>
  </r>
  <r>
    <d v="2026-03-31T00:00:00"/>
    <x v="1"/>
    <s v="2026"/>
    <s v="Tienda"/>
    <x v="1"/>
    <s v="Renxo - Club 1"/>
    <n v="306"/>
    <x v="6"/>
    <x v="56"/>
    <x v="0"/>
    <x v="0"/>
  </r>
  <r>
    <d v="2026-02-02T00:00:00"/>
    <x v="3"/>
    <s v="2026"/>
    <s v="Web"/>
    <x v="5"/>
    <s v="T-Mobs - Club 1"/>
    <n v="700"/>
    <x v="4"/>
    <x v="14"/>
    <x v="1"/>
    <x v="1"/>
  </r>
  <r>
    <d v="2026-05-06T00:00:00"/>
    <x v="2"/>
    <s v="2026"/>
    <s v="Web"/>
    <x v="3"/>
    <s v="Celcom - Club 1"/>
    <n v="200"/>
    <x v="2"/>
    <x v="6"/>
    <x v="1"/>
    <x v="1"/>
  </r>
  <r>
    <d v="2026-04-28T00:00:00"/>
    <x v="4"/>
    <s v="2026"/>
    <s v="Wap"/>
    <x v="8"/>
    <s v="KMD - Club 2"/>
    <n v="801"/>
    <x v="5"/>
    <x v="28"/>
    <x v="0"/>
    <x v="0"/>
  </r>
  <r>
    <d v="2026-03-18T00:00:00"/>
    <x v="1"/>
    <s v="2026"/>
    <s v="Web"/>
    <x v="12"/>
    <s v="Bennu - Club 2"/>
    <n v="112"/>
    <x v="0"/>
    <x v="0"/>
    <x v="0"/>
    <x v="0"/>
  </r>
  <r>
    <d v="2026-01-30T00:00:00"/>
    <x v="0"/>
    <s v="2026"/>
    <s v="Wap"/>
    <x v="15"/>
    <s v="GPM - Club 2"/>
    <n v="200"/>
    <x v="2"/>
    <x v="6"/>
    <x v="1"/>
    <x v="1"/>
  </r>
  <r>
    <d v="2026-04-17T00:00:00"/>
    <x v="4"/>
    <s v="2026"/>
    <s v="Web"/>
    <x v="2"/>
    <s v="Opratel - Club 2"/>
    <n v="507"/>
    <x v="3"/>
    <x v="13"/>
    <x v="0"/>
    <x v="0"/>
  </r>
  <r>
    <d v="2026-02-01T00:00:00"/>
    <x v="3"/>
    <s v="2026"/>
    <s v="Otro"/>
    <x v="6"/>
    <s v="airG - Club 2"/>
    <n v="407"/>
    <x v="1"/>
    <x v="47"/>
    <x v="0"/>
    <x v="0"/>
  </r>
  <r>
    <d v="2026-01-23T00:00:00"/>
    <x v="0"/>
    <s v="2026"/>
    <s v="Web"/>
    <x v="7"/>
    <s v="Digevo - Club 1"/>
    <n v="800"/>
    <x v="5"/>
    <x v="18"/>
    <x v="1"/>
    <x v="1"/>
  </r>
  <r>
    <d v="2026-01-31T00:00:00"/>
    <x v="0"/>
    <s v="2026"/>
    <s v="Web"/>
    <x v="15"/>
    <s v="GPM - Club 2"/>
    <n v="400"/>
    <x v="1"/>
    <x v="1"/>
    <x v="1"/>
    <x v="1"/>
  </r>
  <r>
    <d v="2026-04-24T00:00:00"/>
    <x v="4"/>
    <s v="2026"/>
    <s v="Web"/>
    <x v="15"/>
    <s v="GPM - Club 2"/>
    <n v="504"/>
    <x v="3"/>
    <x v="41"/>
    <x v="0"/>
    <x v="0"/>
  </r>
  <r>
    <d v="2026-04-29T00:00:00"/>
    <x v="4"/>
    <s v="2026"/>
    <s v="Otro"/>
    <x v="14"/>
    <s v="FaroMobile - Club 1"/>
    <n v="200"/>
    <x v="2"/>
    <x v="6"/>
    <x v="1"/>
    <x v="1"/>
  </r>
  <r>
    <d v="2026-02-12T00:00:00"/>
    <x v="3"/>
    <s v="2026"/>
    <s v="Web"/>
    <x v="16"/>
    <s v="True Caller - Club 3"/>
    <n v="400"/>
    <x v="1"/>
    <x v="1"/>
    <x v="1"/>
    <x v="1"/>
  </r>
  <r>
    <d v="2026-04-27T00:00:00"/>
    <x v="4"/>
    <s v="2026"/>
    <s v="Web"/>
    <x v="8"/>
    <s v="KMD - Club 1"/>
    <n v="506"/>
    <x v="3"/>
    <x v="17"/>
    <x v="0"/>
    <x v="0"/>
  </r>
  <r>
    <d v="2026-01-11T00:00:00"/>
    <x v="0"/>
    <s v="2026"/>
    <s v="Wap"/>
    <x v="7"/>
    <s v="Digevo - Club 1"/>
    <n v="107"/>
    <x v="0"/>
    <x v="11"/>
    <x v="0"/>
    <x v="0"/>
  </r>
  <r>
    <d v="2026-02-20T00:00:00"/>
    <x v="3"/>
    <s v="2026"/>
    <s v="Otro"/>
    <x v="11"/>
    <s v="AWG - Club 1"/>
    <n v="407"/>
    <x v="1"/>
    <x v="47"/>
    <x v="0"/>
    <x v="0"/>
  </r>
  <r>
    <d v="2026-04-14T00:00:00"/>
    <x v="4"/>
    <s v="2026"/>
    <s v="Web"/>
    <x v="13"/>
    <s v="Zed - Club 3"/>
    <n v="204"/>
    <x v="2"/>
    <x v="21"/>
    <x v="0"/>
    <x v="0"/>
  </r>
  <r>
    <d v="2026-04-27T00:00:00"/>
    <x v="4"/>
    <s v="2026"/>
    <s v="Wap"/>
    <x v="15"/>
    <s v="GPM - Club 2"/>
    <n v="206"/>
    <x v="2"/>
    <x v="57"/>
    <x v="2"/>
    <x v="0"/>
  </r>
  <r>
    <d v="2026-05-08T00:00:00"/>
    <x v="2"/>
    <s v="2026"/>
    <s v="Wap"/>
    <x v="7"/>
    <s v="Digevo - Club 3"/>
    <n v="100"/>
    <x v="0"/>
    <x v="2"/>
    <x v="1"/>
    <x v="1"/>
  </r>
  <r>
    <d v="2026-04-28T00:00:00"/>
    <x v="4"/>
    <s v="2026"/>
    <s v="Web"/>
    <x v="9"/>
    <s v="Cykadas - Club 3"/>
    <n v="102"/>
    <x v="0"/>
    <x v="38"/>
    <x v="0"/>
    <x v="0"/>
  </r>
  <r>
    <d v="2026-01-27T00:00:00"/>
    <x v="0"/>
    <s v="2026"/>
    <s v="Wap"/>
    <x v="8"/>
    <s v="KMD - Club 3"/>
    <n v="100"/>
    <x v="0"/>
    <x v="2"/>
    <x v="1"/>
    <x v="1"/>
  </r>
  <r>
    <d v="2026-04-16T00:00:00"/>
    <x v="4"/>
    <s v="2026"/>
    <s v="Web"/>
    <x v="16"/>
    <s v="True Caller - Club 2"/>
    <n v="300"/>
    <x v="6"/>
    <x v="20"/>
    <x v="1"/>
    <x v="1"/>
  </r>
  <r>
    <d v="2026-02-14T00:00:00"/>
    <x v="3"/>
    <s v="2026"/>
    <s v="Otro"/>
    <x v="10"/>
    <s v="SocialAst - Club 1"/>
    <n v="500"/>
    <x v="3"/>
    <x v="8"/>
    <x v="1"/>
    <x v="1"/>
  </r>
  <r>
    <d v="2026-04-29T00:00:00"/>
    <x v="4"/>
    <s v="2026"/>
    <s v="Otro"/>
    <x v="13"/>
    <s v="Zed - Club 1"/>
    <n v="408"/>
    <x v="1"/>
    <x v="4"/>
    <x v="0"/>
    <x v="0"/>
  </r>
  <r>
    <d v="2026-03-26T00:00:00"/>
    <x v="1"/>
    <s v="2026"/>
    <s v="Wap"/>
    <x v="4"/>
    <s v="Chocolate - Club 3"/>
    <n v="700"/>
    <x v="4"/>
    <x v="14"/>
    <x v="1"/>
    <x v="1"/>
  </r>
  <r>
    <d v="2026-01-16T00:00:00"/>
    <x v="0"/>
    <s v="2026"/>
    <s v="Web"/>
    <x v="0"/>
    <s v="Wasabi - Club 1"/>
    <n v="504"/>
    <x v="3"/>
    <x v="41"/>
    <x v="0"/>
    <x v="0"/>
  </r>
  <r>
    <d v="2026-04-23T00:00:00"/>
    <x v="4"/>
    <s v="2026"/>
    <s v="Wap"/>
    <x v="2"/>
    <s v="Opratel - Club 3"/>
    <n v="209"/>
    <x v="2"/>
    <x v="39"/>
    <x v="2"/>
    <x v="0"/>
  </r>
  <r>
    <d v="2026-04-09T00:00:00"/>
    <x v="4"/>
    <s v="2026"/>
    <s v="Wap"/>
    <x v="11"/>
    <s v="AWG - Club 2"/>
    <n v="504"/>
    <x v="3"/>
    <x v="41"/>
    <x v="0"/>
    <x v="0"/>
  </r>
  <r>
    <d v="2026-02-15T00:00:00"/>
    <x v="3"/>
    <s v="2026"/>
    <s v="Wap"/>
    <x v="10"/>
    <s v="SocialAst - Club 2"/>
    <n v="500"/>
    <x v="3"/>
    <x v="8"/>
    <x v="1"/>
    <x v="1"/>
  </r>
  <r>
    <d v="2026-03-22T00:00:00"/>
    <x v="1"/>
    <s v="2026"/>
    <s v="Wap"/>
    <x v="10"/>
    <s v="SocialAst - Club 1"/>
    <n v="202"/>
    <x v="2"/>
    <x v="58"/>
    <x v="2"/>
    <x v="0"/>
  </r>
  <r>
    <d v="2026-03-04T00:00:00"/>
    <x v="1"/>
    <s v="2026"/>
    <s v="Wap"/>
    <x v="13"/>
    <s v="Zed - Club 2"/>
    <n v="700"/>
    <x v="4"/>
    <x v="14"/>
    <x v="1"/>
    <x v="1"/>
  </r>
  <r>
    <d v="2026-03-12T00:00:00"/>
    <x v="1"/>
    <s v="2026"/>
    <s v="Web"/>
    <x v="4"/>
    <s v="Chocolate - Club 2"/>
    <n v="700"/>
    <x v="4"/>
    <x v="14"/>
    <x v="1"/>
    <x v="1"/>
  </r>
  <r>
    <d v="2026-03-17T00:00:00"/>
    <x v="1"/>
    <s v="2026"/>
    <s v="Web"/>
    <x v="14"/>
    <s v="FaroMobile - Club 3"/>
    <n v="700"/>
    <x v="4"/>
    <x v="14"/>
    <x v="1"/>
    <x v="1"/>
  </r>
  <r>
    <d v="2026-03-19T00:00:00"/>
    <x v="1"/>
    <s v="2026"/>
    <s v="Wap"/>
    <x v="5"/>
    <s v="T-Mobs - Club 1"/>
    <n v="200"/>
    <x v="2"/>
    <x v="6"/>
    <x v="1"/>
    <x v="1"/>
  </r>
  <r>
    <d v="2026-02-11T00:00:00"/>
    <x v="3"/>
    <s v="2026"/>
    <s v="Web"/>
    <x v="13"/>
    <s v="Zed - Club 1"/>
    <n v="101"/>
    <x v="0"/>
    <x v="7"/>
    <x v="0"/>
    <x v="0"/>
  </r>
  <r>
    <d v="2026-05-04T00:00:00"/>
    <x v="2"/>
    <s v="2026"/>
    <s v="Otro"/>
    <x v="14"/>
    <s v="FaroMobile - Club 1"/>
    <n v="700"/>
    <x v="4"/>
    <x v="14"/>
    <x v="1"/>
    <x v="1"/>
  </r>
  <r>
    <d v="2026-04-10T00:00:00"/>
    <x v="4"/>
    <s v="2026"/>
    <s v="Wap"/>
    <x v="3"/>
    <s v="Celcom - Club 2"/>
    <n v="500"/>
    <x v="3"/>
    <x v="8"/>
    <x v="1"/>
    <x v="1"/>
  </r>
  <r>
    <d v="2026-04-25T00:00:00"/>
    <x v="4"/>
    <s v="2026"/>
    <s v="Web"/>
    <x v="12"/>
    <s v="Bennu - Club 3"/>
    <n v="300"/>
    <x v="6"/>
    <x v="20"/>
    <x v="1"/>
    <x v="1"/>
  </r>
  <r>
    <d v="2026-04-26T00:00:00"/>
    <x v="4"/>
    <s v="2026"/>
    <s v="Web"/>
    <x v="8"/>
    <s v="KMD - Club 2"/>
    <n v="408"/>
    <x v="1"/>
    <x v="4"/>
    <x v="0"/>
    <x v="0"/>
  </r>
  <r>
    <d v="2026-02-15T00:00:00"/>
    <x v="3"/>
    <s v="2026"/>
    <s v="Web"/>
    <x v="13"/>
    <s v="Zed - Club 1"/>
    <n v="202"/>
    <x v="2"/>
    <x v="58"/>
    <x v="2"/>
    <x v="0"/>
  </r>
  <r>
    <d v="2026-01-02T00:00:00"/>
    <x v="0"/>
    <s v="2026"/>
    <s v="Otro"/>
    <x v="1"/>
    <s v="Renxo - Club 2"/>
    <n v="505"/>
    <x v="3"/>
    <x v="23"/>
    <x v="0"/>
    <x v="0"/>
  </r>
  <r>
    <d v="2026-02-03T00:00:00"/>
    <x v="3"/>
    <s v="2026"/>
    <s v="Wap"/>
    <x v="5"/>
    <s v="T-Mobs - Club 2"/>
    <n v="202"/>
    <x v="2"/>
    <x v="58"/>
    <x v="2"/>
    <x v="0"/>
  </r>
  <r>
    <d v="2026-04-04T00:00:00"/>
    <x v="4"/>
    <s v="2026"/>
    <s v="Web"/>
    <x v="3"/>
    <s v="Celcom - Club 2"/>
    <n v="500"/>
    <x v="3"/>
    <x v="8"/>
    <x v="1"/>
    <x v="1"/>
  </r>
  <r>
    <d v="2026-05-06T00:00:00"/>
    <x v="2"/>
    <s v="2026"/>
    <s v="Otro"/>
    <x v="13"/>
    <s v="Zed - Club 3"/>
    <n v="200"/>
    <x v="2"/>
    <x v="6"/>
    <x v="1"/>
    <x v="1"/>
  </r>
  <r>
    <d v="2026-03-28T00:00:00"/>
    <x v="1"/>
    <s v="2026"/>
    <s v="Web"/>
    <x v="0"/>
    <s v="Wasabi - Club 2"/>
    <n v="100"/>
    <x v="0"/>
    <x v="2"/>
    <x v="1"/>
    <x v="1"/>
  </r>
  <r>
    <d v="2026-01-26T00:00:00"/>
    <x v="0"/>
    <s v="2026"/>
    <s v="Web"/>
    <x v="8"/>
    <s v="KMD - Club 3"/>
    <n v="800"/>
    <x v="5"/>
    <x v="18"/>
    <x v="1"/>
    <x v="1"/>
  </r>
  <r>
    <d v="2026-01-27T00:00:00"/>
    <x v="0"/>
    <s v="2026"/>
    <s v="Web"/>
    <x v="1"/>
    <s v="Renxo - Club 3"/>
    <n v="304"/>
    <x v="6"/>
    <x v="49"/>
    <x v="0"/>
    <x v="0"/>
  </r>
  <r>
    <d v="2026-05-09T00:00:00"/>
    <x v="2"/>
    <s v="2026"/>
    <s v="Web"/>
    <x v="14"/>
    <s v="FaroMobile - Club 2"/>
    <n v="100"/>
    <x v="0"/>
    <x v="2"/>
    <x v="1"/>
    <x v="1"/>
  </r>
  <r>
    <d v="2026-04-19T00:00:00"/>
    <x v="4"/>
    <s v="2026"/>
    <s v="Wap"/>
    <x v="13"/>
    <s v="Zed - Club 3"/>
    <n v="800"/>
    <x v="5"/>
    <x v="18"/>
    <x v="1"/>
    <x v="1"/>
  </r>
  <r>
    <d v="2026-04-26T00:00:00"/>
    <x v="4"/>
    <s v="2026"/>
    <s v="Sim"/>
    <x v="4"/>
    <s v="Chocolate - Club 2"/>
    <n v="100"/>
    <x v="0"/>
    <x v="2"/>
    <x v="1"/>
    <x v="1"/>
  </r>
  <r>
    <d v="2026-02-14T00:00:00"/>
    <x v="3"/>
    <s v="2026"/>
    <s v="Web"/>
    <x v="3"/>
    <s v="Celcom - Club 3"/>
    <n v="112"/>
    <x v="0"/>
    <x v="0"/>
    <x v="0"/>
    <x v="0"/>
  </r>
  <r>
    <d v="2026-05-15T00:00:00"/>
    <x v="2"/>
    <s v="2026"/>
    <s v="Wap"/>
    <x v="8"/>
    <s v="KMD - Club 3"/>
    <n v="800"/>
    <x v="5"/>
    <x v="18"/>
    <x v="1"/>
    <x v="1"/>
  </r>
  <r>
    <d v="2026-03-09T00:00:00"/>
    <x v="1"/>
    <s v="2026"/>
    <s v="Web"/>
    <x v="10"/>
    <s v="SocialAst - Club 3"/>
    <n v="304"/>
    <x v="6"/>
    <x v="49"/>
    <x v="0"/>
    <x v="0"/>
  </r>
  <r>
    <d v="2026-05-06T00:00:00"/>
    <x v="2"/>
    <s v="2026"/>
    <s v="Wap"/>
    <x v="15"/>
    <s v="GPM - Club 2"/>
    <n v="409"/>
    <x v="1"/>
    <x v="51"/>
    <x v="0"/>
    <x v="0"/>
  </r>
  <r>
    <d v="2026-03-13T00:00:00"/>
    <x v="1"/>
    <s v="2026"/>
    <s v="Wap"/>
    <x v="9"/>
    <s v="Cykadas - Club 1"/>
    <n v="114"/>
    <x v="0"/>
    <x v="59"/>
    <x v="0"/>
    <x v="0"/>
  </r>
  <r>
    <d v="2026-03-24T00:00:00"/>
    <x v="1"/>
    <s v="2026"/>
    <s v="Otro"/>
    <x v="5"/>
    <s v="T-Mobs - Club 1"/>
    <n v="104"/>
    <x v="0"/>
    <x v="5"/>
    <x v="2"/>
    <x v="0"/>
  </r>
  <r>
    <d v="2026-02-10T00:00:00"/>
    <x v="3"/>
    <s v="2026"/>
    <s v="Otro"/>
    <x v="5"/>
    <s v="T-Mobs - Club 3"/>
    <n v="400"/>
    <x v="1"/>
    <x v="1"/>
    <x v="1"/>
    <x v="1"/>
  </r>
  <r>
    <d v="2026-04-29T00:00:00"/>
    <x v="4"/>
    <s v="2026"/>
    <s v="Web"/>
    <x v="9"/>
    <s v="Cykadas - Club 2"/>
    <n v="405"/>
    <x v="1"/>
    <x v="35"/>
    <x v="2"/>
    <x v="0"/>
  </r>
  <r>
    <d v="2026-02-04T00:00:00"/>
    <x v="3"/>
    <s v="2026"/>
    <s v="Web"/>
    <x v="2"/>
    <s v="Opratel - Club 1"/>
    <n v="200"/>
    <x v="2"/>
    <x v="6"/>
    <x v="1"/>
    <x v="1"/>
  </r>
  <r>
    <d v="2026-03-25T00:00:00"/>
    <x v="1"/>
    <s v="2026"/>
    <s v="Web"/>
    <x v="11"/>
    <s v="AWG - Club 1"/>
    <n v="700"/>
    <x v="4"/>
    <x v="14"/>
    <x v="1"/>
    <x v="1"/>
  </r>
  <r>
    <d v="2026-05-09T00:00:00"/>
    <x v="2"/>
    <s v="2026"/>
    <s v="Web"/>
    <x v="8"/>
    <s v="KMD - Club 2"/>
    <n v="100"/>
    <x v="0"/>
    <x v="2"/>
    <x v="1"/>
    <x v="1"/>
  </r>
  <r>
    <d v="2026-04-24T00:00:00"/>
    <x v="4"/>
    <s v="2026"/>
    <s v="SAT"/>
    <x v="7"/>
    <s v="Digevo - Club 1"/>
    <n v="700"/>
    <x v="4"/>
    <x v="14"/>
    <x v="1"/>
    <x v="1"/>
  </r>
  <r>
    <d v="2026-04-04T00:00:00"/>
    <x v="4"/>
    <s v="2026"/>
    <s v="Wap"/>
    <x v="1"/>
    <s v="Renxo - Club 3"/>
    <n v="506"/>
    <x v="3"/>
    <x v="17"/>
    <x v="0"/>
    <x v="0"/>
  </r>
  <r>
    <d v="2026-05-13T00:00:00"/>
    <x v="2"/>
    <s v="2026"/>
    <s v="Web"/>
    <x v="9"/>
    <s v="Cykadas - Club 2"/>
    <n v="700"/>
    <x v="4"/>
    <x v="14"/>
    <x v="1"/>
    <x v="1"/>
  </r>
  <r>
    <d v="2026-02-15T00:00:00"/>
    <x v="3"/>
    <s v="2026"/>
    <s v="Wap"/>
    <x v="15"/>
    <s v="GPM - Club 1"/>
    <n v="400"/>
    <x v="1"/>
    <x v="1"/>
    <x v="1"/>
    <x v="1"/>
  </r>
  <r>
    <d v="2026-05-13T00:00:00"/>
    <x v="2"/>
    <s v="2026"/>
    <s v="Sim"/>
    <x v="12"/>
    <s v="Bennu - Club 2"/>
    <n v="204"/>
    <x v="2"/>
    <x v="21"/>
    <x v="0"/>
    <x v="0"/>
  </r>
  <r>
    <d v="2026-02-11T00:00:00"/>
    <x v="3"/>
    <s v="2026"/>
    <s v="Wap"/>
    <x v="6"/>
    <s v="airG - Club 1"/>
    <n v="100"/>
    <x v="0"/>
    <x v="2"/>
    <x v="1"/>
    <x v="1"/>
  </r>
  <r>
    <d v="2026-03-05T00:00:00"/>
    <x v="1"/>
    <s v="2026"/>
    <s v="Sim"/>
    <x v="9"/>
    <s v="Cykadas - Club 2"/>
    <n v="408"/>
    <x v="1"/>
    <x v="4"/>
    <x v="0"/>
    <x v="0"/>
  </r>
  <r>
    <d v="2026-03-06T00:00:00"/>
    <x v="1"/>
    <s v="2026"/>
    <s v="Wap"/>
    <x v="9"/>
    <s v="Cykadas - Club 1"/>
    <n v="400"/>
    <x v="1"/>
    <x v="1"/>
    <x v="1"/>
    <x v="1"/>
  </r>
  <r>
    <d v="2026-01-11T00:00:00"/>
    <x v="0"/>
    <s v="2026"/>
    <s v="Web"/>
    <x v="0"/>
    <s v="Wasabi - Club 1"/>
    <n v="800"/>
    <x v="5"/>
    <x v="18"/>
    <x v="1"/>
    <x v="1"/>
  </r>
  <r>
    <d v="2026-03-08T00:00:00"/>
    <x v="1"/>
    <s v="2026"/>
    <s v="Wap"/>
    <x v="2"/>
    <s v="Opratel - Club 3"/>
    <n v="112"/>
    <x v="0"/>
    <x v="0"/>
    <x v="0"/>
    <x v="0"/>
  </r>
  <r>
    <d v="2026-03-10T00:00:00"/>
    <x v="1"/>
    <s v="2026"/>
    <s v="Wap"/>
    <x v="0"/>
    <s v="Wasabi - Club 1"/>
    <n v="308"/>
    <x v="6"/>
    <x v="44"/>
    <x v="0"/>
    <x v="0"/>
  </r>
  <r>
    <d v="2026-05-06T00:00:00"/>
    <x v="2"/>
    <s v="2026"/>
    <s v="Wap"/>
    <x v="3"/>
    <s v="Celcom - Club 3"/>
    <n v="700"/>
    <x v="4"/>
    <x v="14"/>
    <x v="1"/>
    <x v="1"/>
  </r>
  <r>
    <d v="2026-02-10T00:00:00"/>
    <x v="3"/>
    <s v="2026"/>
    <s v="Wap"/>
    <x v="4"/>
    <s v="Chocolate - Club 3"/>
    <n v="209"/>
    <x v="2"/>
    <x v="39"/>
    <x v="2"/>
    <x v="0"/>
  </r>
  <r>
    <d v="2026-01-12T00:00:00"/>
    <x v="0"/>
    <s v="2026"/>
    <s v="Tienda"/>
    <x v="16"/>
    <s v="True Caller - Club 1"/>
    <n v="302"/>
    <x v="6"/>
    <x v="46"/>
    <x v="0"/>
    <x v="0"/>
  </r>
  <r>
    <d v="2026-02-25T00:00:00"/>
    <x v="3"/>
    <s v="2026"/>
    <s v="Wap"/>
    <x v="6"/>
    <s v="airG - Club 3"/>
    <n v="104"/>
    <x v="0"/>
    <x v="5"/>
    <x v="2"/>
    <x v="0"/>
  </r>
  <r>
    <d v="2026-04-07T00:00:00"/>
    <x v="4"/>
    <s v="2026"/>
    <s v="Otro"/>
    <x v="17"/>
    <s v="Digital Virgo - Club 1"/>
    <n v="800"/>
    <x v="5"/>
    <x v="18"/>
    <x v="1"/>
    <x v="1"/>
  </r>
  <r>
    <d v="2026-01-30T00:00:00"/>
    <x v="0"/>
    <s v="2026"/>
    <s v="Wap"/>
    <x v="16"/>
    <s v="True Caller - Club 2"/>
    <n v="500"/>
    <x v="3"/>
    <x v="8"/>
    <x v="1"/>
    <x v="1"/>
  </r>
  <r>
    <d v="2026-05-13T00:00:00"/>
    <x v="2"/>
    <s v="2026"/>
    <s v="Web"/>
    <x v="10"/>
    <s v="SocialAst - Club 3"/>
    <n v="200"/>
    <x v="2"/>
    <x v="6"/>
    <x v="1"/>
    <x v="1"/>
  </r>
  <r>
    <d v="2026-03-16T00:00:00"/>
    <x v="1"/>
    <s v="2026"/>
    <s v="Otro"/>
    <x v="14"/>
    <s v="FaroMobile - Club 2"/>
    <n v="500"/>
    <x v="3"/>
    <x v="8"/>
    <x v="1"/>
    <x v="1"/>
  </r>
  <r>
    <d v="2026-04-08T00:00:00"/>
    <x v="4"/>
    <s v="2026"/>
    <s v="Wap"/>
    <x v="7"/>
    <s v="Digevo - Club 2"/>
    <n v="800"/>
    <x v="5"/>
    <x v="18"/>
    <x v="1"/>
    <x v="1"/>
  </r>
  <r>
    <d v="2026-01-18T00:00:00"/>
    <x v="0"/>
    <s v="2026"/>
    <s v="Wap"/>
    <x v="3"/>
    <s v="Celcom - Club 3"/>
    <n v="101"/>
    <x v="0"/>
    <x v="7"/>
    <x v="0"/>
    <x v="0"/>
  </r>
  <r>
    <d v="2026-04-03T00:00:00"/>
    <x v="4"/>
    <s v="2026"/>
    <s v="Otro"/>
    <x v="0"/>
    <s v="Wasabi - Club 1"/>
    <n v="100"/>
    <x v="0"/>
    <x v="2"/>
    <x v="1"/>
    <x v="1"/>
  </r>
  <r>
    <d v="2026-03-10T00:00:00"/>
    <x v="1"/>
    <s v="2026"/>
    <s v="Web"/>
    <x v="1"/>
    <s v="Renxo - Club 2"/>
    <n v="300"/>
    <x v="6"/>
    <x v="20"/>
    <x v="1"/>
    <x v="1"/>
  </r>
  <r>
    <d v="2026-04-16T00:00:00"/>
    <x v="4"/>
    <s v="2026"/>
    <s v="Wap"/>
    <x v="1"/>
    <s v="Renxo - Club 2"/>
    <n v="200"/>
    <x v="2"/>
    <x v="6"/>
    <x v="1"/>
    <x v="1"/>
  </r>
  <r>
    <d v="2026-04-19T00:00:00"/>
    <x v="4"/>
    <s v="2026"/>
    <s v="Wap"/>
    <x v="13"/>
    <s v="Zed - Club 2"/>
    <n v="210"/>
    <x v="2"/>
    <x v="22"/>
    <x v="0"/>
    <x v="0"/>
  </r>
  <r>
    <d v="2026-04-30T00:00:00"/>
    <x v="4"/>
    <s v="2026"/>
    <s v="Wap"/>
    <x v="11"/>
    <s v="AWG - Club 1"/>
    <n v="200"/>
    <x v="2"/>
    <x v="6"/>
    <x v="1"/>
    <x v="1"/>
  </r>
  <r>
    <d v="2026-03-06T00:00:00"/>
    <x v="1"/>
    <s v="2026"/>
    <s v="Wap"/>
    <x v="10"/>
    <s v="SocialAst - Club 2"/>
    <n v="404"/>
    <x v="1"/>
    <x v="24"/>
    <x v="0"/>
    <x v="0"/>
  </r>
  <r>
    <d v="2026-02-26T00:00:00"/>
    <x v="3"/>
    <s v="2026"/>
    <s v="Web"/>
    <x v="11"/>
    <s v="AWG - Club 3"/>
    <n v="110"/>
    <x v="0"/>
    <x v="36"/>
    <x v="0"/>
    <x v="0"/>
  </r>
  <r>
    <d v="2026-01-11T00:00:00"/>
    <x v="0"/>
    <s v="2026"/>
    <s v="Web"/>
    <x v="1"/>
    <s v="Renxo - Club 2"/>
    <n v="500"/>
    <x v="3"/>
    <x v="8"/>
    <x v="1"/>
    <x v="1"/>
  </r>
  <r>
    <d v="2026-01-01T00:00:00"/>
    <x v="0"/>
    <s v="2026"/>
    <s v="Tienda"/>
    <x v="1"/>
    <s v="Renxo - Club 2"/>
    <n v="504"/>
    <x v="3"/>
    <x v="41"/>
    <x v="0"/>
    <x v="0"/>
  </r>
  <r>
    <d v="2026-01-08T00:00:00"/>
    <x v="0"/>
    <s v="2026"/>
    <s v="Wap"/>
    <x v="3"/>
    <s v="Celcom - Club 2"/>
    <n v="308"/>
    <x v="6"/>
    <x v="44"/>
    <x v="0"/>
    <x v="0"/>
  </r>
  <r>
    <d v="2026-01-09T00:00:00"/>
    <x v="0"/>
    <s v="2026"/>
    <s v="Wap"/>
    <x v="13"/>
    <s v="Zed - Club 3"/>
    <n v="200"/>
    <x v="2"/>
    <x v="6"/>
    <x v="1"/>
    <x v="1"/>
  </r>
  <r>
    <d v="2026-01-05T00:00:00"/>
    <x v="0"/>
    <s v="2026"/>
    <s v="Wap"/>
    <x v="6"/>
    <s v="airG - Club 2"/>
    <n v="500"/>
    <x v="3"/>
    <x v="8"/>
    <x v="1"/>
    <x v="1"/>
  </r>
  <r>
    <d v="2026-02-14T00:00:00"/>
    <x v="3"/>
    <s v="2026"/>
    <s v="Wap"/>
    <x v="1"/>
    <s v="Renxo - Club 1"/>
    <n v="500"/>
    <x v="3"/>
    <x v="8"/>
    <x v="1"/>
    <x v="1"/>
  </r>
  <r>
    <d v="2026-02-07T00:00:00"/>
    <x v="3"/>
    <s v="2026"/>
    <s v="Wap"/>
    <x v="17"/>
    <s v="Digital Virgo - Club 3"/>
    <n v="209"/>
    <x v="2"/>
    <x v="39"/>
    <x v="2"/>
    <x v="0"/>
  </r>
  <r>
    <d v="2026-02-26T00:00:00"/>
    <x v="3"/>
    <s v="2026"/>
    <s v="Wap"/>
    <x v="3"/>
    <s v="Celcom - Club 2"/>
    <n v="405"/>
    <x v="1"/>
    <x v="35"/>
    <x v="2"/>
    <x v="0"/>
  </r>
  <r>
    <d v="2026-04-22T00:00:00"/>
    <x v="4"/>
    <s v="2026"/>
    <s v="Wap"/>
    <x v="9"/>
    <s v="Cykadas - Club 1"/>
    <n v="209"/>
    <x v="2"/>
    <x v="39"/>
    <x v="2"/>
    <x v="0"/>
  </r>
  <r>
    <d v="2026-03-28T00:00:00"/>
    <x v="1"/>
    <s v="2026"/>
    <s v="Web"/>
    <x v="1"/>
    <s v="Renxo - Club 1"/>
    <n v="107"/>
    <x v="0"/>
    <x v="11"/>
    <x v="0"/>
    <x v="0"/>
  </r>
  <r>
    <d v="2026-05-13T00:00:00"/>
    <x v="2"/>
    <s v="2026"/>
    <s v="Web"/>
    <x v="11"/>
    <s v="AWG - Club 3"/>
    <n v="109"/>
    <x v="0"/>
    <x v="31"/>
    <x v="2"/>
    <x v="0"/>
  </r>
  <r>
    <d v="2026-01-10T00:00:00"/>
    <x v="0"/>
    <s v="2026"/>
    <s v="Web"/>
    <x v="10"/>
    <s v="SocialAst - Club 2"/>
    <n v="308"/>
    <x v="6"/>
    <x v="44"/>
    <x v="0"/>
    <x v="0"/>
  </r>
  <r>
    <d v="2026-02-24T00:00:00"/>
    <x v="3"/>
    <s v="2026"/>
    <s v="Otro"/>
    <x v="2"/>
    <s v="Opratel - Club 2"/>
    <n v="108"/>
    <x v="0"/>
    <x v="53"/>
    <x v="0"/>
    <x v="0"/>
  </r>
  <r>
    <d v="2026-03-21T00:00:00"/>
    <x v="1"/>
    <s v="2026"/>
    <s v="Web"/>
    <x v="10"/>
    <s v="SocialAst - Club 3"/>
    <n v="105"/>
    <x v="0"/>
    <x v="54"/>
    <x v="2"/>
    <x v="0"/>
  </r>
  <r>
    <d v="2026-01-11T00:00:00"/>
    <x v="0"/>
    <s v="2026"/>
    <s v="Web"/>
    <x v="15"/>
    <s v="GPM - Club 3"/>
    <n v="114"/>
    <x v="0"/>
    <x v="59"/>
    <x v="0"/>
    <x v="0"/>
  </r>
  <r>
    <d v="2026-03-16T00:00:00"/>
    <x v="1"/>
    <s v="2026"/>
    <s v="Wap"/>
    <x v="16"/>
    <s v="True Caller - Club 2"/>
    <n v="305"/>
    <x v="6"/>
    <x v="60"/>
    <x v="0"/>
    <x v="0"/>
  </r>
  <r>
    <d v="2026-02-13T00:00:00"/>
    <x v="3"/>
    <s v="2026"/>
    <s v="Wap"/>
    <x v="3"/>
    <s v="Celcom - Club 2"/>
    <n v="110"/>
    <x v="0"/>
    <x v="36"/>
    <x v="0"/>
    <x v="0"/>
  </r>
  <r>
    <d v="2026-02-25T00:00:00"/>
    <x v="3"/>
    <s v="2026"/>
    <s v="Web"/>
    <x v="8"/>
    <s v="KMD - Club 3"/>
    <n v="400"/>
    <x v="1"/>
    <x v="1"/>
    <x v="1"/>
    <x v="1"/>
  </r>
  <r>
    <d v="2026-04-20T00:00:00"/>
    <x v="4"/>
    <s v="2026"/>
    <s v="Web"/>
    <x v="8"/>
    <s v="KMD - Club 3"/>
    <n v="400"/>
    <x v="1"/>
    <x v="1"/>
    <x v="1"/>
    <x v="1"/>
  </r>
  <r>
    <d v="2026-03-22T00:00:00"/>
    <x v="1"/>
    <s v="2026"/>
    <s v="Wap"/>
    <x v="3"/>
    <s v="Celcom - Club 2"/>
    <n v="101"/>
    <x v="0"/>
    <x v="7"/>
    <x v="0"/>
    <x v="0"/>
  </r>
  <r>
    <d v="2026-01-26T00:00:00"/>
    <x v="0"/>
    <s v="2026"/>
    <s v="Web"/>
    <x v="7"/>
    <s v="Digevo - Club 2"/>
    <n v="700"/>
    <x v="4"/>
    <x v="14"/>
    <x v="1"/>
    <x v="1"/>
  </r>
  <r>
    <d v="2026-04-17T00:00:00"/>
    <x v="4"/>
    <s v="2026"/>
    <s v="Web"/>
    <x v="3"/>
    <s v="Celcom - Club 1"/>
    <n v="200"/>
    <x v="2"/>
    <x v="6"/>
    <x v="1"/>
    <x v="1"/>
  </r>
  <r>
    <d v="2026-03-31T00:00:00"/>
    <x v="1"/>
    <s v="2026"/>
    <s v="Web"/>
    <x v="1"/>
    <s v="Renxo - Club 1"/>
    <n v="700"/>
    <x v="4"/>
    <x v="14"/>
    <x v="1"/>
    <x v="1"/>
  </r>
  <r>
    <d v="2026-05-03T00:00:00"/>
    <x v="2"/>
    <s v="2026"/>
    <s v="Web"/>
    <x v="13"/>
    <s v="Zed - Club 3"/>
    <n v="200"/>
    <x v="2"/>
    <x v="6"/>
    <x v="1"/>
    <x v="1"/>
  </r>
  <r>
    <d v="2026-01-01T00:00:00"/>
    <x v="0"/>
    <s v="2026"/>
    <s v="Wap"/>
    <x v="13"/>
    <s v="Zed - Club 1"/>
    <n v="800"/>
    <x v="5"/>
    <x v="18"/>
    <x v="1"/>
    <x v="1"/>
  </r>
  <r>
    <d v="2026-02-17T00:00:00"/>
    <x v="3"/>
    <s v="2026"/>
    <s v="Otro"/>
    <x v="3"/>
    <s v="Celcom - Club 3"/>
    <n v="112"/>
    <x v="0"/>
    <x v="0"/>
    <x v="0"/>
    <x v="0"/>
  </r>
  <r>
    <d v="2026-04-17T00:00:00"/>
    <x v="4"/>
    <s v="2026"/>
    <s v="Wap"/>
    <x v="5"/>
    <s v="T-Mobs - Club 2"/>
    <n v="700"/>
    <x v="4"/>
    <x v="14"/>
    <x v="1"/>
    <x v="1"/>
  </r>
  <r>
    <d v="2026-05-02T00:00:00"/>
    <x v="2"/>
    <s v="2026"/>
    <s v="Wap"/>
    <x v="13"/>
    <s v="Zed - Club 2"/>
    <n v="301"/>
    <x v="6"/>
    <x v="55"/>
    <x v="0"/>
    <x v="0"/>
  </r>
  <r>
    <d v="2026-04-13T00:00:00"/>
    <x v="4"/>
    <s v="2026"/>
    <s v="Wap"/>
    <x v="16"/>
    <s v="True Caller - Club 2"/>
    <n v="700"/>
    <x v="4"/>
    <x v="14"/>
    <x v="1"/>
    <x v="1"/>
  </r>
  <r>
    <d v="2026-04-29T00:00:00"/>
    <x v="4"/>
    <s v="2026"/>
    <s v="Web"/>
    <x v="11"/>
    <s v="AWG - Club 3"/>
    <n v="111"/>
    <x v="0"/>
    <x v="43"/>
    <x v="0"/>
    <x v="0"/>
  </r>
  <r>
    <d v="2026-03-02T00:00:00"/>
    <x v="1"/>
    <s v="2026"/>
    <s v="Web"/>
    <x v="9"/>
    <s v="Cykadas - Club 2"/>
    <n v="400"/>
    <x v="1"/>
    <x v="1"/>
    <x v="1"/>
    <x v="1"/>
  </r>
  <r>
    <d v="2026-05-04T00:00:00"/>
    <x v="2"/>
    <s v="2026"/>
    <s v="Wap"/>
    <x v="3"/>
    <s v="Celcom - Club 3"/>
    <n v="307"/>
    <x v="6"/>
    <x v="26"/>
    <x v="0"/>
    <x v="0"/>
  </r>
  <r>
    <d v="2026-03-05T00:00:00"/>
    <x v="1"/>
    <s v="2026"/>
    <s v="Wap"/>
    <x v="3"/>
    <s v="Celcom - Club 2"/>
    <n v="102"/>
    <x v="0"/>
    <x v="38"/>
    <x v="0"/>
    <x v="0"/>
  </r>
  <r>
    <d v="2026-02-27T00:00:00"/>
    <x v="3"/>
    <s v="2026"/>
    <s v="Wap"/>
    <x v="5"/>
    <s v="T-Mobs - Club 1"/>
    <n v="200"/>
    <x v="2"/>
    <x v="6"/>
    <x v="1"/>
    <x v="1"/>
  </r>
  <r>
    <d v="2026-01-03T00:00:00"/>
    <x v="0"/>
    <s v="2026"/>
    <s v="Otro"/>
    <x v="4"/>
    <s v="Chocolate - Club 3"/>
    <n v="200"/>
    <x v="2"/>
    <x v="6"/>
    <x v="1"/>
    <x v="1"/>
  </r>
  <r>
    <d v="2026-01-30T00:00:00"/>
    <x v="0"/>
    <s v="2026"/>
    <s v="Sim"/>
    <x v="2"/>
    <s v="Opratel - Club 2"/>
    <n v="111"/>
    <x v="0"/>
    <x v="43"/>
    <x v="0"/>
    <x v="0"/>
  </r>
  <r>
    <d v="2026-02-17T00:00:00"/>
    <x v="3"/>
    <s v="2026"/>
    <s v="Otro"/>
    <x v="10"/>
    <s v="SocialAst - Club 1"/>
    <n v="409"/>
    <x v="1"/>
    <x v="51"/>
    <x v="0"/>
    <x v="0"/>
  </r>
  <r>
    <d v="2026-01-06T00:00:00"/>
    <x v="0"/>
    <s v="2026"/>
    <s v="Wap"/>
    <x v="6"/>
    <s v="airG - Club 1"/>
    <n v="800"/>
    <x v="5"/>
    <x v="18"/>
    <x v="1"/>
    <x v="1"/>
  </r>
  <r>
    <d v="2026-03-29T00:00:00"/>
    <x v="1"/>
    <s v="2026"/>
    <s v="Web"/>
    <x v="12"/>
    <s v="Bennu - Club 3"/>
    <n v="107"/>
    <x v="0"/>
    <x v="11"/>
    <x v="0"/>
    <x v="0"/>
  </r>
  <r>
    <d v="2026-03-19T00:00:00"/>
    <x v="1"/>
    <s v="2026"/>
    <s v="Tienda"/>
    <x v="8"/>
    <s v="KMD - Club 1"/>
    <n v="207"/>
    <x v="2"/>
    <x v="32"/>
    <x v="2"/>
    <x v="0"/>
  </r>
  <r>
    <d v="2026-03-14T00:00:00"/>
    <x v="1"/>
    <s v="2026"/>
    <s v="Wap"/>
    <x v="9"/>
    <s v="Cykadas - Club 3"/>
    <n v="400"/>
    <x v="1"/>
    <x v="1"/>
    <x v="1"/>
    <x v="1"/>
  </r>
  <r>
    <d v="2026-02-20T00:00:00"/>
    <x v="3"/>
    <s v="2026"/>
    <s v="Wap"/>
    <x v="7"/>
    <s v="Digevo - Club 3"/>
    <n v="100"/>
    <x v="0"/>
    <x v="2"/>
    <x v="1"/>
    <x v="1"/>
  </r>
  <r>
    <d v="2026-01-25T00:00:00"/>
    <x v="0"/>
    <s v="2026"/>
    <s v="Web"/>
    <x v="16"/>
    <s v="True Caller - Club 1"/>
    <n v="200"/>
    <x v="2"/>
    <x v="6"/>
    <x v="1"/>
    <x v="1"/>
  </r>
  <r>
    <d v="2026-05-09T00:00:00"/>
    <x v="2"/>
    <s v="2026"/>
    <s v="Web"/>
    <x v="4"/>
    <s v="Chocolate - Club 3"/>
    <n v="305"/>
    <x v="6"/>
    <x v="60"/>
    <x v="0"/>
    <x v="0"/>
  </r>
  <r>
    <d v="2026-04-08T00:00:00"/>
    <x v="4"/>
    <s v="2026"/>
    <s v="Wap"/>
    <x v="1"/>
    <s v="Renxo - Club 1"/>
    <n v="400"/>
    <x v="1"/>
    <x v="1"/>
    <x v="1"/>
    <x v="1"/>
  </r>
  <r>
    <d v="2026-01-31T00:00:00"/>
    <x v="0"/>
    <s v="2026"/>
    <s v="Wap"/>
    <x v="11"/>
    <s v="AWG - Club 3"/>
    <n v="204"/>
    <x v="2"/>
    <x v="21"/>
    <x v="0"/>
    <x v="0"/>
  </r>
  <r>
    <d v="2026-05-15T00:00:00"/>
    <x v="2"/>
    <s v="2026"/>
    <s v="Otro"/>
    <x v="4"/>
    <s v="Chocolate - Club 3"/>
    <n v="705"/>
    <x v="4"/>
    <x v="42"/>
    <x v="2"/>
    <x v="0"/>
  </r>
  <r>
    <d v="2026-02-24T00:00:00"/>
    <x v="3"/>
    <s v="2026"/>
    <s v="Wap"/>
    <x v="5"/>
    <s v="T-Mobs - Club 2"/>
    <n v="506"/>
    <x v="3"/>
    <x v="17"/>
    <x v="0"/>
    <x v="0"/>
  </r>
  <r>
    <d v="2026-04-09T00:00:00"/>
    <x v="4"/>
    <s v="2026"/>
    <s v="Web"/>
    <x v="14"/>
    <s v="FaroMobile - Club 3"/>
    <n v="308"/>
    <x v="6"/>
    <x v="44"/>
    <x v="0"/>
    <x v="0"/>
  </r>
  <r>
    <d v="2026-05-11T00:00:00"/>
    <x v="2"/>
    <s v="2026"/>
    <s v="Wap"/>
    <x v="11"/>
    <s v="AWG - Club 1"/>
    <n v="401"/>
    <x v="1"/>
    <x v="16"/>
    <x v="0"/>
    <x v="0"/>
  </r>
  <r>
    <d v="2026-05-08T00:00:00"/>
    <x v="2"/>
    <s v="2026"/>
    <s v="Wap"/>
    <x v="11"/>
    <s v="AWG - Club 2"/>
    <n v="406"/>
    <x v="1"/>
    <x v="15"/>
    <x v="0"/>
    <x v="0"/>
  </r>
  <r>
    <d v="2026-01-07T00:00:00"/>
    <x v="0"/>
    <s v="2026"/>
    <s v="Otro"/>
    <x v="16"/>
    <s v="True Caller - Club 3"/>
    <n v="205"/>
    <x v="2"/>
    <x v="34"/>
    <x v="0"/>
    <x v="0"/>
  </r>
  <r>
    <d v="2026-03-11T00:00:00"/>
    <x v="1"/>
    <s v="2026"/>
    <s v="Otro"/>
    <x v="10"/>
    <s v="SocialAst - Club 1"/>
    <n v="400"/>
    <x v="1"/>
    <x v="1"/>
    <x v="1"/>
    <x v="1"/>
  </r>
  <r>
    <d v="2026-02-17T00:00:00"/>
    <x v="3"/>
    <s v="2026"/>
    <s v="Wap"/>
    <x v="15"/>
    <s v="GPM - Club 1"/>
    <n v="108"/>
    <x v="0"/>
    <x v="53"/>
    <x v="0"/>
    <x v="0"/>
  </r>
  <r>
    <d v="2026-05-07T00:00:00"/>
    <x v="2"/>
    <s v="2026"/>
    <s v="Otro"/>
    <x v="3"/>
    <s v="Celcom - Club 3"/>
    <n v="308"/>
    <x v="6"/>
    <x v="44"/>
    <x v="0"/>
    <x v="0"/>
  </r>
  <r>
    <d v="2026-02-19T00:00:00"/>
    <x v="3"/>
    <s v="2026"/>
    <s v="Wap"/>
    <x v="12"/>
    <s v="Bennu - Club 2"/>
    <n v="400"/>
    <x v="1"/>
    <x v="1"/>
    <x v="1"/>
    <x v="1"/>
  </r>
  <r>
    <d v="2026-01-11T00:00:00"/>
    <x v="0"/>
    <s v="2026"/>
    <s v="Web"/>
    <x v="12"/>
    <s v="Bennu - Club 2"/>
    <n v="700"/>
    <x v="4"/>
    <x v="14"/>
    <x v="1"/>
    <x v="1"/>
  </r>
  <r>
    <d v="2026-01-13T00:00:00"/>
    <x v="0"/>
    <s v="2026"/>
    <s v="SMS"/>
    <x v="4"/>
    <s v="Chocolate - Club 2"/>
    <n v="307"/>
    <x v="6"/>
    <x v="26"/>
    <x v="0"/>
    <x v="0"/>
  </r>
  <r>
    <d v="2026-03-24T00:00:00"/>
    <x v="1"/>
    <s v="2026"/>
    <s v="Wap"/>
    <x v="12"/>
    <s v="Bennu - Club 3"/>
    <n v="100"/>
    <x v="0"/>
    <x v="2"/>
    <x v="1"/>
    <x v="1"/>
  </r>
  <r>
    <d v="2026-02-18T00:00:00"/>
    <x v="3"/>
    <s v="2026"/>
    <s v="Otro"/>
    <x v="13"/>
    <s v="Zed - Club 3"/>
    <n v="100"/>
    <x v="0"/>
    <x v="2"/>
    <x v="1"/>
    <x v="1"/>
  </r>
  <r>
    <d v="2026-05-07T00:00:00"/>
    <x v="2"/>
    <s v="2026"/>
    <s v="Wap"/>
    <x v="11"/>
    <s v="AWG - Club 3"/>
    <n v="206"/>
    <x v="2"/>
    <x v="57"/>
    <x v="2"/>
    <x v="0"/>
  </r>
  <r>
    <d v="2026-01-11T00:00:00"/>
    <x v="0"/>
    <s v="2026"/>
    <s v="Wap"/>
    <x v="2"/>
    <s v="Opratel - Club 2"/>
    <n v="705"/>
    <x v="4"/>
    <x v="42"/>
    <x v="2"/>
    <x v="0"/>
  </r>
  <r>
    <d v="2026-03-24T00:00:00"/>
    <x v="1"/>
    <s v="2026"/>
    <s v="Otro"/>
    <x v="6"/>
    <s v="airG - Club 1"/>
    <n v="200"/>
    <x v="2"/>
    <x v="6"/>
    <x v="1"/>
    <x v="1"/>
  </r>
  <r>
    <d v="2026-01-02T00:00:00"/>
    <x v="0"/>
    <s v="2026"/>
    <s v="Wap"/>
    <x v="11"/>
    <s v="AWG - Club 2"/>
    <n v="403"/>
    <x v="1"/>
    <x v="19"/>
    <x v="2"/>
    <x v="0"/>
  </r>
  <r>
    <d v="2026-05-09T00:00:00"/>
    <x v="2"/>
    <s v="2026"/>
    <s v="Otro"/>
    <x v="14"/>
    <s v="FaroMobile - Club 2"/>
    <n v="400"/>
    <x v="1"/>
    <x v="1"/>
    <x v="1"/>
    <x v="1"/>
  </r>
  <r>
    <d v="2026-03-09T00:00:00"/>
    <x v="1"/>
    <s v="2026"/>
    <s v="Wap"/>
    <x v="14"/>
    <s v="FaroMobile - Club 2"/>
    <n v="400"/>
    <x v="1"/>
    <x v="1"/>
    <x v="1"/>
    <x v="1"/>
  </r>
  <r>
    <d v="2026-04-29T00:00:00"/>
    <x v="4"/>
    <s v="2026"/>
    <s v="Web"/>
    <x v="0"/>
    <s v="Wasabi - Club 3"/>
    <n v="102"/>
    <x v="0"/>
    <x v="38"/>
    <x v="0"/>
    <x v="0"/>
  </r>
  <r>
    <d v="2026-03-22T00:00:00"/>
    <x v="1"/>
    <s v="2026"/>
    <s v="Web"/>
    <x v="16"/>
    <s v="True Caller - Club 3"/>
    <n v="300"/>
    <x v="6"/>
    <x v="20"/>
    <x v="1"/>
    <x v="1"/>
  </r>
  <r>
    <d v="2026-04-26T00:00:00"/>
    <x v="4"/>
    <s v="2026"/>
    <s v="Wap"/>
    <x v="5"/>
    <s v="T-Mobs - Club 3"/>
    <n v="703"/>
    <x v="4"/>
    <x v="9"/>
    <x v="0"/>
    <x v="0"/>
  </r>
  <r>
    <d v="2026-04-24T00:00:00"/>
    <x v="4"/>
    <s v="2026"/>
    <s v="Web"/>
    <x v="8"/>
    <s v="KMD - Club 1"/>
    <n v="703"/>
    <x v="4"/>
    <x v="9"/>
    <x v="0"/>
    <x v="0"/>
  </r>
  <r>
    <d v="2026-05-05T00:00:00"/>
    <x v="2"/>
    <s v="2026"/>
    <s v="Web"/>
    <x v="17"/>
    <s v="Digital Virgo - Club 1"/>
    <n v="801"/>
    <x v="5"/>
    <x v="28"/>
    <x v="0"/>
    <x v="0"/>
  </r>
  <r>
    <d v="2026-04-16T00:00:00"/>
    <x v="4"/>
    <s v="2026"/>
    <s v="Wap"/>
    <x v="1"/>
    <s v="Renxo - Club 2"/>
    <n v="200"/>
    <x v="2"/>
    <x v="6"/>
    <x v="1"/>
    <x v="1"/>
  </r>
  <r>
    <d v="2026-01-03T00:00:00"/>
    <x v="0"/>
    <s v="2026"/>
    <s v="Web"/>
    <x v="2"/>
    <s v="Opratel - Club 3"/>
    <n v="200"/>
    <x v="2"/>
    <x v="6"/>
    <x v="1"/>
    <x v="1"/>
  </r>
  <r>
    <d v="2026-02-14T00:00:00"/>
    <x v="3"/>
    <s v="2026"/>
    <s v="Web"/>
    <x v="13"/>
    <s v="Zed - Club 3"/>
    <n v="103"/>
    <x v="0"/>
    <x v="40"/>
    <x v="0"/>
    <x v="0"/>
  </r>
  <r>
    <d v="2026-03-23T00:00:00"/>
    <x v="1"/>
    <s v="2026"/>
    <s v="Wap"/>
    <x v="16"/>
    <s v="True Caller - Club 2"/>
    <n v="200"/>
    <x v="2"/>
    <x v="6"/>
    <x v="1"/>
    <x v="1"/>
  </r>
  <r>
    <d v="2026-01-13T00:00:00"/>
    <x v="0"/>
    <s v="2026"/>
    <s v="Tienda"/>
    <x v="15"/>
    <s v="GPM - Club 3"/>
    <n v="402"/>
    <x v="1"/>
    <x v="12"/>
    <x v="0"/>
    <x v="0"/>
  </r>
  <r>
    <d v="2026-03-13T00:00:00"/>
    <x v="1"/>
    <s v="2026"/>
    <s v="Web"/>
    <x v="10"/>
    <s v="SocialAst - Club 3"/>
    <n v="303"/>
    <x v="6"/>
    <x v="61"/>
    <x v="0"/>
    <x v="0"/>
  </r>
  <r>
    <d v="2026-04-18T00:00:00"/>
    <x v="4"/>
    <s v="2026"/>
    <s v="Web"/>
    <x v="3"/>
    <s v="Celcom - Club 3"/>
    <n v="800"/>
    <x v="5"/>
    <x v="18"/>
    <x v="1"/>
    <x v="1"/>
  </r>
  <r>
    <d v="2026-04-01T00:00:00"/>
    <x v="4"/>
    <s v="2026"/>
    <s v="Web"/>
    <x v="3"/>
    <s v="Celcom - Club 1"/>
    <n v="112"/>
    <x v="0"/>
    <x v="0"/>
    <x v="0"/>
    <x v="0"/>
  </r>
  <r>
    <d v="2026-03-16T00:00:00"/>
    <x v="1"/>
    <s v="2026"/>
    <s v="Tienda"/>
    <x v="17"/>
    <s v="Digital Virgo - Club 1"/>
    <n v="112"/>
    <x v="0"/>
    <x v="0"/>
    <x v="0"/>
    <x v="0"/>
  </r>
  <r>
    <d v="2026-04-21T00:00:00"/>
    <x v="4"/>
    <s v="2026"/>
    <s v="SAT"/>
    <x v="8"/>
    <s v="KMD - Club 2"/>
    <n v="200"/>
    <x v="2"/>
    <x v="6"/>
    <x v="1"/>
    <x v="1"/>
  </r>
  <r>
    <d v="2026-04-23T00:00:00"/>
    <x v="4"/>
    <s v="2026"/>
    <s v="SMS"/>
    <x v="0"/>
    <s v="Wasabi - Club 3"/>
    <n v="200"/>
    <x v="2"/>
    <x v="6"/>
    <x v="1"/>
    <x v="1"/>
  </r>
  <r>
    <d v="2026-04-12T00:00:00"/>
    <x v="4"/>
    <s v="2026"/>
    <s v="Web"/>
    <x v="5"/>
    <s v="T-Mobs - Club 3"/>
    <n v="400"/>
    <x v="1"/>
    <x v="1"/>
    <x v="1"/>
    <x v="1"/>
  </r>
  <r>
    <d v="2026-01-21T00:00:00"/>
    <x v="0"/>
    <s v="2026"/>
    <s v="Web"/>
    <x v="16"/>
    <s v="True Caller - Club 3"/>
    <n v="306"/>
    <x v="6"/>
    <x v="56"/>
    <x v="0"/>
    <x v="0"/>
  </r>
  <r>
    <d v="2026-04-07T00:00:00"/>
    <x v="4"/>
    <s v="2026"/>
    <s v="Wap"/>
    <x v="6"/>
    <s v="airG - Club 2"/>
    <n v="300"/>
    <x v="6"/>
    <x v="20"/>
    <x v="1"/>
    <x v="1"/>
  </r>
  <r>
    <d v="2026-03-31T00:00:00"/>
    <x v="1"/>
    <s v="2026"/>
    <s v="Otro"/>
    <x v="5"/>
    <s v="T-Mobs - Club 1"/>
    <n v="301"/>
    <x v="6"/>
    <x v="55"/>
    <x v="0"/>
    <x v="0"/>
  </r>
  <r>
    <d v="2026-02-01T00:00:00"/>
    <x v="3"/>
    <s v="2026"/>
    <s v="Otro"/>
    <x v="12"/>
    <s v="Bennu - Club 1"/>
    <n v="303"/>
    <x v="6"/>
    <x v="61"/>
    <x v="0"/>
    <x v="0"/>
  </r>
  <r>
    <d v="2026-03-04T00:00:00"/>
    <x v="1"/>
    <s v="2026"/>
    <s v="Sim"/>
    <x v="1"/>
    <s v="Renxo - Club 2"/>
    <n v="400"/>
    <x v="1"/>
    <x v="1"/>
    <x v="1"/>
    <x v="1"/>
  </r>
  <r>
    <d v="2026-01-23T00:00:00"/>
    <x v="0"/>
    <s v="2026"/>
    <s v="Web"/>
    <x v="14"/>
    <s v="FaroMobile - Club 1"/>
    <n v="500"/>
    <x v="3"/>
    <x v="8"/>
    <x v="1"/>
    <x v="1"/>
  </r>
  <r>
    <d v="2026-03-09T00:00:00"/>
    <x v="1"/>
    <s v="2026"/>
    <s v="Wap"/>
    <x v="11"/>
    <s v="AWG - Club 3"/>
    <n v="504"/>
    <x v="3"/>
    <x v="41"/>
    <x v="0"/>
    <x v="0"/>
  </r>
  <r>
    <d v="2026-02-18T00:00:00"/>
    <x v="3"/>
    <s v="2026"/>
    <s v="Wap"/>
    <x v="15"/>
    <s v="GPM - Club 2"/>
    <n v="802"/>
    <x v="5"/>
    <x v="25"/>
    <x v="0"/>
    <x v="0"/>
  </r>
  <r>
    <d v="2026-02-07T00:00:00"/>
    <x v="3"/>
    <s v="2026"/>
    <s v="Otro"/>
    <x v="1"/>
    <s v="Renxo - Club 2"/>
    <n v="300"/>
    <x v="6"/>
    <x v="20"/>
    <x v="1"/>
    <x v="1"/>
  </r>
  <r>
    <d v="2026-03-01T00:00:00"/>
    <x v="1"/>
    <s v="2026"/>
    <s v="Web"/>
    <x v="0"/>
    <s v="Wasabi - Club 3"/>
    <n v="704"/>
    <x v="4"/>
    <x v="37"/>
    <x v="0"/>
    <x v="0"/>
  </r>
  <r>
    <d v="2026-03-14T00:00:00"/>
    <x v="1"/>
    <s v="2026"/>
    <s v="Web"/>
    <x v="10"/>
    <s v="SocialAst - Club 2"/>
    <n v="207"/>
    <x v="2"/>
    <x v="32"/>
    <x v="2"/>
    <x v="0"/>
  </r>
  <r>
    <d v="2026-02-08T00:00:00"/>
    <x v="3"/>
    <s v="2026"/>
    <s v="Wap"/>
    <x v="7"/>
    <s v="Digevo - Club 1"/>
    <n v="207"/>
    <x v="2"/>
    <x v="32"/>
    <x v="2"/>
    <x v="0"/>
  </r>
  <r>
    <d v="2026-02-11T00:00:00"/>
    <x v="3"/>
    <s v="2026"/>
    <s v="Web"/>
    <x v="0"/>
    <s v="Wasabi - Club 1"/>
    <n v="800"/>
    <x v="5"/>
    <x v="18"/>
    <x v="1"/>
    <x v="1"/>
  </r>
  <r>
    <d v="2026-05-11T00:00:00"/>
    <x v="2"/>
    <s v="2026"/>
    <s v="Web"/>
    <x v="12"/>
    <s v="Bennu - Club 2"/>
    <n v="300"/>
    <x v="6"/>
    <x v="20"/>
    <x v="1"/>
    <x v="1"/>
  </r>
  <r>
    <d v="2026-01-09T00:00:00"/>
    <x v="0"/>
    <s v="2026"/>
    <s v="Web"/>
    <x v="17"/>
    <s v="Digital Virgo - Club 3"/>
    <n v="300"/>
    <x v="6"/>
    <x v="20"/>
    <x v="1"/>
    <x v="1"/>
  </r>
  <r>
    <d v="2026-01-01T00:00:00"/>
    <x v="0"/>
    <s v="2026"/>
    <s v="Wap"/>
    <x v="12"/>
    <s v="Bennu - Club 2"/>
    <n v="504"/>
    <x v="3"/>
    <x v="41"/>
    <x v="0"/>
    <x v="0"/>
  </r>
  <r>
    <d v="2026-04-08T00:00:00"/>
    <x v="4"/>
    <s v="2026"/>
    <s v="Wap"/>
    <x v="7"/>
    <s v="Digevo - Club 3"/>
    <n v="207"/>
    <x v="2"/>
    <x v="32"/>
    <x v="2"/>
    <x v="0"/>
  </r>
  <r>
    <d v="2026-01-30T00:00:00"/>
    <x v="0"/>
    <s v="2026"/>
    <s v="Wap"/>
    <x v="13"/>
    <s v="Zed - Club 3"/>
    <n v="307"/>
    <x v="6"/>
    <x v="26"/>
    <x v="0"/>
    <x v="0"/>
  </r>
  <r>
    <d v="2026-02-17T00:00:00"/>
    <x v="3"/>
    <s v="2026"/>
    <s v="Wap"/>
    <x v="1"/>
    <s v="Renxo - Club 2"/>
    <n v="404"/>
    <x v="1"/>
    <x v="24"/>
    <x v="0"/>
    <x v="0"/>
  </r>
  <r>
    <d v="2026-01-09T00:00:00"/>
    <x v="0"/>
    <s v="2026"/>
    <s v="Wap"/>
    <x v="17"/>
    <s v="Digital Virgo - Club 1"/>
    <n v="300"/>
    <x v="6"/>
    <x v="20"/>
    <x v="1"/>
    <x v="1"/>
  </r>
  <r>
    <d v="2026-03-24T00:00:00"/>
    <x v="1"/>
    <s v="2026"/>
    <s v="Wap"/>
    <x v="12"/>
    <s v="Bennu - Club 2"/>
    <n v="301"/>
    <x v="6"/>
    <x v="55"/>
    <x v="0"/>
    <x v="0"/>
  </r>
  <r>
    <d v="2026-04-26T00:00:00"/>
    <x v="4"/>
    <s v="2026"/>
    <s v="Web"/>
    <x v="8"/>
    <s v="KMD - Club 2"/>
    <n v="701"/>
    <x v="4"/>
    <x v="52"/>
    <x v="0"/>
    <x v="0"/>
  </r>
  <r>
    <d v="2026-04-22T00:00:00"/>
    <x v="4"/>
    <s v="2026"/>
    <s v="Otro"/>
    <x v="2"/>
    <s v="Opratel - Club 2"/>
    <n v="506"/>
    <x v="3"/>
    <x v="17"/>
    <x v="0"/>
    <x v="0"/>
  </r>
  <r>
    <d v="2026-05-15T00:00:00"/>
    <x v="2"/>
    <s v="2026"/>
    <s v="Wap"/>
    <x v="17"/>
    <s v="Digital Virgo - Club 1"/>
    <n v="701"/>
    <x v="4"/>
    <x v="52"/>
    <x v="0"/>
    <x v="0"/>
  </r>
  <r>
    <d v="2026-02-12T00:00:00"/>
    <x v="3"/>
    <s v="2026"/>
    <s v="Web"/>
    <x v="10"/>
    <s v="SocialAst - Club 1"/>
    <n v="300"/>
    <x v="6"/>
    <x v="20"/>
    <x v="1"/>
    <x v="1"/>
  </r>
  <r>
    <d v="2026-03-16T00:00:00"/>
    <x v="1"/>
    <s v="2026"/>
    <s v="Tienda"/>
    <x v="1"/>
    <s v="Renxo - Club 3"/>
    <n v="400"/>
    <x v="1"/>
    <x v="1"/>
    <x v="1"/>
    <x v="1"/>
  </r>
  <r>
    <d v="2026-01-04T00:00:00"/>
    <x v="0"/>
    <s v="2026"/>
    <s v="Wap"/>
    <x v="10"/>
    <s v="SocialAst - Club 3"/>
    <n v="505"/>
    <x v="3"/>
    <x v="23"/>
    <x v="0"/>
    <x v="0"/>
  </r>
  <r>
    <d v="2026-03-19T00:00:00"/>
    <x v="1"/>
    <s v="2026"/>
    <s v="Otro"/>
    <x v="17"/>
    <s v="Digital Virgo - Club 2"/>
    <n v="100"/>
    <x v="0"/>
    <x v="2"/>
    <x v="1"/>
    <x v="1"/>
  </r>
  <r>
    <d v="2026-03-25T00:00:00"/>
    <x v="1"/>
    <s v="2026"/>
    <s v="Wap"/>
    <x v="9"/>
    <s v="Cykadas - Club 1"/>
    <n v="702"/>
    <x v="4"/>
    <x v="33"/>
    <x v="0"/>
    <x v="0"/>
  </r>
  <r>
    <d v="2026-03-25T00:00:00"/>
    <x v="1"/>
    <s v="2026"/>
    <s v="Web"/>
    <x v="16"/>
    <s v="True Caller - Club 2"/>
    <n v="800"/>
    <x v="5"/>
    <x v="18"/>
    <x v="1"/>
    <x v="1"/>
  </r>
  <r>
    <d v="2026-02-16T00:00:00"/>
    <x v="3"/>
    <s v="2026"/>
    <s v="Wap"/>
    <x v="16"/>
    <s v="True Caller - Club 3"/>
    <n v="500"/>
    <x v="3"/>
    <x v="8"/>
    <x v="1"/>
    <x v="1"/>
  </r>
  <r>
    <d v="2026-01-11T00:00:00"/>
    <x v="0"/>
    <s v="2026"/>
    <s v="Wap"/>
    <x v="0"/>
    <s v="Wasabi - Club 2"/>
    <n v="400"/>
    <x v="1"/>
    <x v="1"/>
    <x v="1"/>
    <x v="1"/>
  </r>
  <r>
    <d v="2026-01-01T00:00:00"/>
    <x v="0"/>
    <s v="2026"/>
    <s v="Web"/>
    <x v="11"/>
    <s v="AWG - Club 1"/>
    <n v="101"/>
    <x v="0"/>
    <x v="7"/>
    <x v="0"/>
    <x v="0"/>
  </r>
  <r>
    <d v="2026-04-14T00:00:00"/>
    <x v="4"/>
    <s v="2026"/>
    <s v="Sim"/>
    <x v="2"/>
    <s v="Opratel - Club 2"/>
    <n v="800"/>
    <x v="5"/>
    <x v="18"/>
    <x v="1"/>
    <x v="1"/>
  </r>
  <r>
    <d v="2026-04-16T00:00:00"/>
    <x v="4"/>
    <s v="2026"/>
    <s v="Wap"/>
    <x v="13"/>
    <s v="Zed - Club 3"/>
    <n v="114"/>
    <x v="0"/>
    <x v="59"/>
    <x v="0"/>
    <x v="0"/>
  </r>
  <r>
    <d v="2026-04-13T00:00:00"/>
    <x v="4"/>
    <s v="2026"/>
    <s v="Web"/>
    <x v="5"/>
    <s v="T-Mobs - Club 1"/>
    <n v="200"/>
    <x v="2"/>
    <x v="6"/>
    <x v="1"/>
    <x v="1"/>
  </r>
  <r>
    <d v="2026-05-08T00:00:00"/>
    <x v="2"/>
    <s v="2026"/>
    <s v="Web"/>
    <x v="6"/>
    <s v="airG - Club 1"/>
    <n v="300"/>
    <x v="6"/>
    <x v="20"/>
    <x v="1"/>
    <x v="1"/>
  </r>
  <r>
    <d v="2026-01-25T00:00:00"/>
    <x v="0"/>
    <s v="2026"/>
    <s v="Wap"/>
    <x v="1"/>
    <s v="Renxo - Club 3"/>
    <n v="113"/>
    <x v="0"/>
    <x v="3"/>
    <x v="2"/>
    <x v="0"/>
  </r>
  <r>
    <d v="2026-02-02T00:00:00"/>
    <x v="3"/>
    <s v="2026"/>
    <s v="Web"/>
    <x v="3"/>
    <s v="Celcom - Club 1"/>
    <n v="307"/>
    <x v="6"/>
    <x v="26"/>
    <x v="0"/>
    <x v="0"/>
  </r>
  <r>
    <d v="2026-04-03T00:00:00"/>
    <x v="4"/>
    <s v="2026"/>
    <s v="Web"/>
    <x v="13"/>
    <s v="Zed - Club 3"/>
    <n v="400"/>
    <x v="1"/>
    <x v="1"/>
    <x v="1"/>
    <x v="1"/>
  </r>
  <r>
    <d v="2026-01-17T00:00:00"/>
    <x v="0"/>
    <s v="2026"/>
    <s v="Web"/>
    <x v="8"/>
    <s v="KMD - Club 2"/>
    <n v="303"/>
    <x v="6"/>
    <x v="61"/>
    <x v="0"/>
    <x v="0"/>
  </r>
  <r>
    <d v="2026-05-15T00:00:00"/>
    <x v="2"/>
    <s v="2026"/>
    <s v="Wap"/>
    <x v="15"/>
    <s v="GPM - Club 3"/>
    <n v="210"/>
    <x v="2"/>
    <x v="22"/>
    <x v="0"/>
    <x v="0"/>
  </r>
  <r>
    <d v="2026-02-16T00:00:00"/>
    <x v="3"/>
    <s v="2026"/>
    <s v="Web"/>
    <x v="5"/>
    <s v="T-Mobs - Club 2"/>
    <n v="800"/>
    <x v="5"/>
    <x v="18"/>
    <x v="1"/>
    <x v="1"/>
  </r>
  <r>
    <d v="2026-02-14T00:00:00"/>
    <x v="3"/>
    <s v="2026"/>
    <s v="Wap"/>
    <x v="2"/>
    <s v="Opratel - Club 3"/>
    <n v="400"/>
    <x v="1"/>
    <x v="1"/>
    <x v="1"/>
    <x v="1"/>
  </r>
  <r>
    <d v="2026-01-26T00:00:00"/>
    <x v="0"/>
    <s v="2026"/>
    <s v="Web"/>
    <x v="17"/>
    <s v="Digital Virgo - Club 1"/>
    <n v="700"/>
    <x v="4"/>
    <x v="14"/>
    <x v="1"/>
    <x v="1"/>
  </r>
  <r>
    <d v="2026-04-20T00:00:00"/>
    <x v="4"/>
    <s v="2026"/>
    <s v="Wap"/>
    <x v="1"/>
    <s v="Renxo - Club 1"/>
    <n v="502"/>
    <x v="3"/>
    <x v="27"/>
    <x v="0"/>
    <x v="0"/>
  </r>
  <r>
    <d v="2026-01-21T00:00:00"/>
    <x v="0"/>
    <s v="2026"/>
    <s v="Tienda"/>
    <x v="17"/>
    <s v="Digital Virgo - Club 2"/>
    <n v="209"/>
    <x v="2"/>
    <x v="39"/>
    <x v="2"/>
    <x v="0"/>
  </r>
  <r>
    <d v="2026-05-04T00:00:00"/>
    <x v="2"/>
    <s v="2026"/>
    <s v="Web"/>
    <x v="13"/>
    <s v="Zed - Club 1"/>
    <n v="400"/>
    <x v="1"/>
    <x v="1"/>
    <x v="1"/>
    <x v="1"/>
  </r>
  <r>
    <d v="2026-03-16T00:00:00"/>
    <x v="1"/>
    <s v="2026"/>
    <s v="Wap"/>
    <x v="17"/>
    <s v="Digital Virgo - Club 3"/>
    <n v="700"/>
    <x v="4"/>
    <x v="14"/>
    <x v="1"/>
    <x v="1"/>
  </r>
  <r>
    <d v="2026-01-26T00:00:00"/>
    <x v="0"/>
    <s v="2026"/>
    <s v="Wap"/>
    <x v="5"/>
    <s v="T-Mobs - Club 3"/>
    <n v="800"/>
    <x v="5"/>
    <x v="18"/>
    <x v="1"/>
    <x v="1"/>
  </r>
  <r>
    <d v="2026-01-20T00:00:00"/>
    <x v="0"/>
    <s v="2026"/>
    <s v="Wap"/>
    <x v="16"/>
    <s v="True Caller - Club 2"/>
    <n v="800"/>
    <x v="5"/>
    <x v="18"/>
    <x v="1"/>
    <x v="1"/>
  </r>
  <r>
    <d v="2026-01-05T00:00:00"/>
    <x v="0"/>
    <s v="2026"/>
    <s v="Wap"/>
    <x v="15"/>
    <s v="GPM - Club 3"/>
    <n v="401"/>
    <x v="1"/>
    <x v="16"/>
    <x v="0"/>
    <x v="0"/>
  </r>
  <r>
    <d v="2026-01-27T00:00:00"/>
    <x v="0"/>
    <s v="2026"/>
    <s v="Web"/>
    <x v="15"/>
    <s v="GPM - Club 3"/>
    <n v="107"/>
    <x v="0"/>
    <x v="11"/>
    <x v="0"/>
    <x v="0"/>
  </r>
  <r>
    <d v="2026-03-24T00:00:00"/>
    <x v="1"/>
    <s v="2026"/>
    <s v="Web"/>
    <x v="13"/>
    <s v="Zed - Club 3"/>
    <n v="307"/>
    <x v="6"/>
    <x v="26"/>
    <x v="0"/>
    <x v="0"/>
  </r>
  <r>
    <d v="2026-02-03T00:00:00"/>
    <x v="3"/>
    <s v="2026"/>
    <s v="Web"/>
    <x v="3"/>
    <s v="Celcom - Club 3"/>
    <n v="304"/>
    <x v="6"/>
    <x v="49"/>
    <x v="0"/>
    <x v="0"/>
  </r>
  <r>
    <d v="2026-02-27T00:00:00"/>
    <x v="3"/>
    <s v="2026"/>
    <s v="Otro"/>
    <x v="13"/>
    <s v="Zed - Club 2"/>
    <n v="400"/>
    <x v="1"/>
    <x v="1"/>
    <x v="1"/>
    <x v="1"/>
  </r>
  <r>
    <d v="2026-03-29T00:00:00"/>
    <x v="1"/>
    <s v="2026"/>
    <s v="Web"/>
    <x v="4"/>
    <s v="Chocolate - Club 3"/>
    <n v="508"/>
    <x v="3"/>
    <x v="10"/>
    <x v="0"/>
    <x v="0"/>
  </r>
  <r>
    <d v="2026-01-28T00:00:00"/>
    <x v="0"/>
    <s v="2026"/>
    <s v="Web"/>
    <x v="2"/>
    <s v="Opratel - Club 1"/>
    <n v="200"/>
    <x v="2"/>
    <x v="6"/>
    <x v="1"/>
    <x v="1"/>
  </r>
  <r>
    <d v="2026-04-14T00:00:00"/>
    <x v="4"/>
    <s v="2026"/>
    <s v="Web"/>
    <x v="0"/>
    <s v="Wasabi - Club 1"/>
    <n v="802"/>
    <x v="5"/>
    <x v="25"/>
    <x v="0"/>
    <x v="0"/>
  </r>
  <r>
    <d v="2026-04-23T00:00:00"/>
    <x v="4"/>
    <s v="2026"/>
    <s v="Wap"/>
    <x v="0"/>
    <s v="Wasabi - Club 3"/>
    <n v="300"/>
    <x v="6"/>
    <x v="20"/>
    <x v="1"/>
    <x v="1"/>
  </r>
  <r>
    <d v="2026-02-18T00:00:00"/>
    <x v="3"/>
    <s v="2026"/>
    <s v="Web"/>
    <x v="11"/>
    <s v="AWG - Club 3"/>
    <n v="501"/>
    <x v="3"/>
    <x v="50"/>
    <x v="0"/>
    <x v="0"/>
  </r>
  <r>
    <d v="2026-04-03T00:00:00"/>
    <x v="4"/>
    <s v="2026"/>
    <s v="Web"/>
    <x v="7"/>
    <s v="Digevo - Club 2"/>
    <n v="400"/>
    <x v="1"/>
    <x v="1"/>
    <x v="1"/>
    <x v="1"/>
  </r>
  <r>
    <d v="2026-01-30T00:00:00"/>
    <x v="0"/>
    <s v="2026"/>
    <s v="Otro"/>
    <x v="2"/>
    <s v="Opratel - Club 2"/>
    <n v="100"/>
    <x v="0"/>
    <x v="2"/>
    <x v="1"/>
    <x v="1"/>
  </r>
  <r>
    <d v="2026-01-23T00:00:00"/>
    <x v="0"/>
    <s v="2026"/>
    <s v="Wap"/>
    <x v="4"/>
    <s v="Chocolate - Club 2"/>
    <n v="100"/>
    <x v="0"/>
    <x v="2"/>
    <x v="1"/>
    <x v="1"/>
  </r>
  <r>
    <d v="2026-04-15T00:00:00"/>
    <x v="4"/>
    <s v="2026"/>
    <s v="Otro"/>
    <x v="4"/>
    <s v="Chocolate - Club 3"/>
    <n v="209"/>
    <x v="2"/>
    <x v="39"/>
    <x v="2"/>
    <x v="0"/>
  </r>
  <r>
    <d v="2026-04-07T00:00:00"/>
    <x v="4"/>
    <s v="2026"/>
    <s v="Web"/>
    <x v="1"/>
    <s v="Renxo - Club 1"/>
    <n v="210"/>
    <x v="2"/>
    <x v="22"/>
    <x v="0"/>
    <x v="0"/>
  </r>
  <r>
    <d v="2026-04-19T00:00:00"/>
    <x v="4"/>
    <s v="2026"/>
    <s v="Web"/>
    <x v="2"/>
    <s v="Opratel - Club 3"/>
    <n v="303"/>
    <x v="6"/>
    <x v="61"/>
    <x v="0"/>
    <x v="0"/>
  </r>
  <r>
    <d v="2026-04-14T00:00:00"/>
    <x v="4"/>
    <s v="2026"/>
    <s v="Wap"/>
    <x v="0"/>
    <s v="Wasabi - Club 3"/>
    <n v="305"/>
    <x v="6"/>
    <x v="60"/>
    <x v="0"/>
    <x v="0"/>
  </r>
  <r>
    <d v="2026-01-27T00:00:00"/>
    <x v="0"/>
    <s v="2026"/>
    <s v="SAT"/>
    <x v="3"/>
    <s v="Celcom - Club 1"/>
    <n v="408"/>
    <x v="1"/>
    <x v="4"/>
    <x v="0"/>
    <x v="0"/>
  </r>
  <r>
    <d v="2026-04-17T00:00:00"/>
    <x v="4"/>
    <s v="2026"/>
    <s v="Sim"/>
    <x v="6"/>
    <s v="airG - Club 2"/>
    <n v="111"/>
    <x v="0"/>
    <x v="43"/>
    <x v="0"/>
    <x v="0"/>
  </r>
  <r>
    <d v="2026-01-19T00:00:00"/>
    <x v="0"/>
    <s v="2026"/>
    <s v="Web"/>
    <x v="3"/>
    <s v="Celcom - Club 3"/>
    <n v="400"/>
    <x v="1"/>
    <x v="1"/>
    <x v="1"/>
    <x v="1"/>
  </r>
  <r>
    <d v="2026-03-19T00:00:00"/>
    <x v="1"/>
    <s v="2026"/>
    <s v="Otro"/>
    <x v="1"/>
    <s v="Renxo - Club 1"/>
    <n v="800"/>
    <x v="5"/>
    <x v="18"/>
    <x v="1"/>
    <x v="1"/>
  </r>
  <r>
    <d v="2026-02-03T00:00:00"/>
    <x v="3"/>
    <s v="2026"/>
    <s v="Wap"/>
    <x v="12"/>
    <s v="Bennu - Club 2"/>
    <n v="800"/>
    <x v="5"/>
    <x v="18"/>
    <x v="1"/>
    <x v="1"/>
  </r>
  <r>
    <d v="2026-02-08T00:00:00"/>
    <x v="3"/>
    <s v="2026"/>
    <s v="Web"/>
    <x v="3"/>
    <s v="Celcom - Club 1"/>
    <n v="500"/>
    <x v="3"/>
    <x v="8"/>
    <x v="1"/>
    <x v="1"/>
  </r>
  <r>
    <d v="2026-03-03T00:00:00"/>
    <x v="1"/>
    <s v="2026"/>
    <s v="Wap"/>
    <x v="15"/>
    <s v="GPM - Club 1"/>
    <n v="105"/>
    <x v="0"/>
    <x v="54"/>
    <x v="2"/>
    <x v="0"/>
  </r>
  <r>
    <d v="2026-04-11T00:00:00"/>
    <x v="4"/>
    <s v="2026"/>
    <s v="Wap"/>
    <x v="0"/>
    <s v="Wasabi - Club 1"/>
    <n v="204"/>
    <x v="2"/>
    <x v="21"/>
    <x v="0"/>
    <x v="0"/>
  </r>
  <r>
    <d v="2026-04-06T00:00:00"/>
    <x v="4"/>
    <s v="2026"/>
    <s v="Web"/>
    <x v="8"/>
    <s v="KMD - Club 3"/>
    <n v="800"/>
    <x v="5"/>
    <x v="18"/>
    <x v="1"/>
    <x v="1"/>
  </r>
  <r>
    <d v="2026-03-12T00:00:00"/>
    <x v="1"/>
    <s v="2026"/>
    <s v="Wap"/>
    <x v="4"/>
    <s v="Chocolate - Club 1"/>
    <n v="108"/>
    <x v="0"/>
    <x v="53"/>
    <x v="0"/>
    <x v="0"/>
  </r>
  <r>
    <d v="2026-03-15T00:00:00"/>
    <x v="1"/>
    <s v="2026"/>
    <s v="Otro"/>
    <x v="3"/>
    <s v="Celcom - Club 1"/>
    <n v="200"/>
    <x v="2"/>
    <x v="6"/>
    <x v="1"/>
    <x v="1"/>
  </r>
  <r>
    <d v="2026-05-15T00:00:00"/>
    <x v="2"/>
    <s v="2026"/>
    <s v="Wap"/>
    <x v="6"/>
    <s v="airG - Club 3"/>
    <n v="409"/>
    <x v="1"/>
    <x v="51"/>
    <x v="0"/>
    <x v="0"/>
  </r>
  <r>
    <d v="2026-04-24T00:00:00"/>
    <x v="4"/>
    <s v="2026"/>
    <s v="Web"/>
    <x v="9"/>
    <s v="Cykadas - Club 1"/>
    <n v="503"/>
    <x v="3"/>
    <x v="48"/>
    <x v="0"/>
    <x v="0"/>
  </r>
  <r>
    <d v="2026-01-14T00:00:00"/>
    <x v="0"/>
    <s v="2026"/>
    <s v="Web"/>
    <x v="16"/>
    <s v="True Caller - Club 3"/>
    <n v="200"/>
    <x v="2"/>
    <x v="6"/>
    <x v="1"/>
    <x v="1"/>
  </r>
  <r>
    <d v="2026-04-25T00:00:00"/>
    <x v="4"/>
    <s v="2026"/>
    <s v="Otro"/>
    <x v="8"/>
    <s v="KMD - Club 2"/>
    <n v="111"/>
    <x v="0"/>
    <x v="43"/>
    <x v="0"/>
    <x v="0"/>
  </r>
  <r>
    <d v="2026-04-04T00:00:00"/>
    <x v="4"/>
    <s v="2026"/>
    <s v="Wap"/>
    <x v="16"/>
    <s v="True Caller - Club 2"/>
    <n v="506"/>
    <x v="3"/>
    <x v="17"/>
    <x v="0"/>
    <x v="0"/>
  </r>
  <r>
    <d v="2026-05-12T00:00:00"/>
    <x v="2"/>
    <s v="2026"/>
    <s v="Web"/>
    <x v="1"/>
    <s v="Renxo - Club 2"/>
    <n v="308"/>
    <x v="6"/>
    <x v="44"/>
    <x v="0"/>
    <x v="0"/>
  </r>
  <r>
    <d v="2026-01-29T00:00:00"/>
    <x v="0"/>
    <s v="2026"/>
    <s v="Wap"/>
    <x v="1"/>
    <s v="Renxo - Club 3"/>
    <n v="100"/>
    <x v="0"/>
    <x v="2"/>
    <x v="1"/>
    <x v="1"/>
  </r>
  <r>
    <d v="2026-04-06T00:00:00"/>
    <x v="4"/>
    <s v="2026"/>
    <s v="Wap"/>
    <x v="7"/>
    <s v="Digevo - Club 2"/>
    <n v="800"/>
    <x v="5"/>
    <x v="18"/>
    <x v="1"/>
    <x v="1"/>
  </r>
  <r>
    <d v="2026-05-10T00:00:00"/>
    <x v="2"/>
    <s v="2026"/>
    <s v="Web"/>
    <x v="1"/>
    <s v="Renxo - Club 2"/>
    <n v="210"/>
    <x v="2"/>
    <x v="22"/>
    <x v="0"/>
    <x v="0"/>
  </r>
  <r>
    <d v="2026-03-16T00:00:00"/>
    <x v="1"/>
    <s v="2026"/>
    <s v="SAT"/>
    <x v="13"/>
    <s v="Zed - Club 3"/>
    <n v="504"/>
    <x v="3"/>
    <x v="41"/>
    <x v="0"/>
    <x v="0"/>
  </r>
  <r>
    <d v="2026-02-16T00:00:00"/>
    <x v="3"/>
    <s v="2026"/>
    <s v="Wap"/>
    <x v="0"/>
    <s v="Wasabi - Club 1"/>
    <n v="303"/>
    <x v="6"/>
    <x v="61"/>
    <x v="0"/>
    <x v="0"/>
  </r>
  <r>
    <d v="2026-04-05T00:00:00"/>
    <x v="4"/>
    <s v="2026"/>
    <s v="Otro"/>
    <x v="0"/>
    <s v="Wasabi - Club 2"/>
    <n v="701"/>
    <x v="4"/>
    <x v="52"/>
    <x v="0"/>
    <x v="0"/>
  </r>
  <r>
    <d v="2026-02-19T00:00:00"/>
    <x v="3"/>
    <s v="2026"/>
    <s v="Otro"/>
    <x v="9"/>
    <s v="Cykadas - Club 1"/>
    <n v="209"/>
    <x v="2"/>
    <x v="39"/>
    <x v="2"/>
    <x v="0"/>
  </r>
  <r>
    <d v="2026-03-01T00:00:00"/>
    <x v="1"/>
    <s v="2026"/>
    <s v="Otro"/>
    <x v="11"/>
    <s v="AWG - Club 2"/>
    <n v="202"/>
    <x v="2"/>
    <x v="58"/>
    <x v="2"/>
    <x v="0"/>
  </r>
  <r>
    <d v="2026-03-03T00:00:00"/>
    <x v="1"/>
    <s v="2026"/>
    <s v="Web"/>
    <x v="2"/>
    <s v="Opratel - Club 3"/>
    <n v="200"/>
    <x v="2"/>
    <x v="6"/>
    <x v="1"/>
    <x v="1"/>
  </r>
  <r>
    <d v="2026-03-11T00:00:00"/>
    <x v="1"/>
    <s v="2026"/>
    <s v="Web"/>
    <x v="6"/>
    <s v="airG - Club 1"/>
    <n v="701"/>
    <x v="4"/>
    <x v="52"/>
    <x v="0"/>
    <x v="0"/>
  </r>
  <r>
    <d v="2026-01-01T00:00:00"/>
    <x v="0"/>
    <s v="2026"/>
    <s v="Wap"/>
    <x v="3"/>
    <s v="Celcom - Club 1"/>
    <n v="800"/>
    <x v="5"/>
    <x v="18"/>
    <x v="1"/>
    <x v="1"/>
  </r>
  <r>
    <d v="2026-02-06T00:00:00"/>
    <x v="3"/>
    <s v="2026"/>
    <s v="Sim"/>
    <x v="13"/>
    <s v="Zed - Club 3"/>
    <n v="306"/>
    <x v="6"/>
    <x v="56"/>
    <x v="0"/>
    <x v="0"/>
  </r>
  <r>
    <d v="2026-04-30T00:00:00"/>
    <x v="4"/>
    <s v="2026"/>
    <s v="Wap"/>
    <x v="10"/>
    <s v="SocialAst - Club 2"/>
    <n v="802"/>
    <x v="5"/>
    <x v="25"/>
    <x v="0"/>
    <x v="0"/>
  </r>
  <r>
    <d v="2026-02-08T00:00:00"/>
    <x v="3"/>
    <s v="2026"/>
    <s v="Web"/>
    <x v="15"/>
    <s v="GPM - Club 2"/>
    <n v="800"/>
    <x v="5"/>
    <x v="18"/>
    <x v="1"/>
    <x v="1"/>
  </r>
  <r>
    <d v="2026-01-23T00:00:00"/>
    <x v="0"/>
    <s v="2026"/>
    <s v="Web"/>
    <x v="4"/>
    <s v="Chocolate - Club 2"/>
    <n v="207"/>
    <x v="2"/>
    <x v="32"/>
    <x v="2"/>
    <x v="0"/>
  </r>
  <r>
    <d v="2026-01-27T00:00:00"/>
    <x v="0"/>
    <s v="2026"/>
    <s v="Web"/>
    <x v="15"/>
    <s v="GPM - Club 2"/>
    <n v="112"/>
    <x v="0"/>
    <x v="0"/>
    <x v="0"/>
    <x v="0"/>
  </r>
  <r>
    <d v="2026-03-15T00:00:00"/>
    <x v="1"/>
    <s v="2026"/>
    <s v="Web"/>
    <x v="1"/>
    <s v="Renxo - Club 3"/>
    <n v="100"/>
    <x v="0"/>
    <x v="2"/>
    <x v="1"/>
    <x v="1"/>
  </r>
  <r>
    <d v="2026-03-07T00:00:00"/>
    <x v="1"/>
    <s v="2026"/>
    <s v="Wap"/>
    <x v="2"/>
    <s v="Opratel - Club 2"/>
    <n v="508"/>
    <x v="3"/>
    <x v="10"/>
    <x v="0"/>
    <x v="0"/>
  </r>
  <r>
    <d v="2026-02-14T00:00:00"/>
    <x v="3"/>
    <s v="2026"/>
    <s v="Wap"/>
    <x v="11"/>
    <s v="AWG - Club 3"/>
    <n v="300"/>
    <x v="6"/>
    <x v="20"/>
    <x v="1"/>
    <x v="1"/>
  </r>
  <r>
    <d v="2026-03-26T00:00:00"/>
    <x v="1"/>
    <s v="2026"/>
    <s v="Otro"/>
    <x v="13"/>
    <s v="Zed - Club 2"/>
    <n v="301"/>
    <x v="6"/>
    <x v="55"/>
    <x v="0"/>
    <x v="0"/>
  </r>
  <r>
    <d v="2026-04-05T00:00:00"/>
    <x v="4"/>
    <s v="2026"/>
    <s v="Wap"/>
    <x v="6"/>
    <s v="airG - Club 1"/>
    <n v="400"/>
    <x v="1"/>
    <x v="1"/>
    <x v="1"/>
    <x v="1"/>
  </r>
  <r>
    <d v="2026-03-15T00:00:00"/>
    <x v="1"/>
    <s v="2026"/>
    <s v="Wap"/>
    <x v="6"/>
    <s v="airG - Club 1"/>
    <n v="800"/>
    <x v="5"/>
    <x v="18"/>
    <x v="1"/>
    <x v="1"/>
  </r>
  <r>
    <d v="2026-02-01T00:00:00"/>
    <x v="3"/>
    <s v="2026"/>
    <s v="Web"/>
    <x v="14"/>
    <s v="FaroMobile - Club 2"/>
    <n v="200"/>
    <x v="2"/>
    <x v="6"/>
    <x v="1"/>
    <x v="1"/>
  </r>
  <r>
    <d v="2026-01-15T00:00:00"/>
    <x v="0"/>
    <s v="2026"/>
    <s v="Wap"/>
    <x v="7"/>
    <s v="Digevo - Club 1"/>
    <n v="207"/>
    <x v="2"/>
    <x v="32"/>
    <x v="2"/>
    <x v="0"/>
  </r>
  <r>
    <d v="2026-01-13T00:00:00"/>
    <x v="0"/>
    <s v="2026"/>
    <s v="Web"/>
    <x v="6"/>
    <s v="airG - Club 3"/>
    <n v="200"/>
    <x v="2"/>
    <x v="6"/>
    <x v="1"/>
    <x v="1"/>
  </r>
  <r>
    <d v="2026-01-09T00:00:00"/>
    <x v="0"/>
    <s v="2026"/>
    <s v="Web"/>
    <x v="13"/>
    <s v="Zed - Club 3"/>
    <n v="302"/>
    <x v="6"/>
    <x v="46"/>
    <x v="0"/>
    <x v="0"/>
  </r>
  <r>
    <d v="2026-03-09T00:00:00"/>
    <x v="1"/>
    <s v="2026"/>
    <s v="Wap"/>
    <x v="15"/>
    <s v="GPM - Club 1"/>
    <n v="105"/>
    <x v="0"/>
    <x v="54"/>
    <x v="2"/>
    <x v="0"/>
  </r>
  <r>
    <d v="2026-04-13T00:00:00"/>
    <x v="4"/>
    <s v="2026"/>
    <s v="Wap"/>
    <x v="1"/>
    <s v="Renxo - Club 1"/>
    <n v="500"/>
    <x v="3"/>
    <x v="8"/>
    <x v="1"/>
    <x v="1"/>
  </r>
  <r>
    <d v="2026-01-13T00:00:00"/>
    <x v="0"/>
    <s v="2026"/>
    <s v="Otro"/>
    <x v="8"/>
    <s v="KMD - Club 3"/>
    <n v="300"/>
    <x v="6"/>
    <x v="20"/>
    <x v="1"/>
    <x v="1"/>
  </r>
  <r>
    <d v="2026-03-23T00:00:00"/>
    <x v="1"/>
    <s v="2026"/>
    <s v="Web"/>
    <x v="7"/>
    <s v="Digevo - Club 2"/>
    <n v="500"/>
    <x v="3"/>
    <x v="8"/>
    <x v="1"/>
    <x v="1"/>
  </r>
  <r>
    <d v="2026-05-01T00:00:00"/>
    <x v="2"/>
    <s v="2026"/>
    <s v="Web"/>
    <x v="0"/>
    <s v="Wasabi - Club 1"/>
    <n v="200"/>
    <x v="2"/>
    <x v="6"/>
    <x v="1"/>
    <x v="1"/>
  </r>
  <r>
    <d v="2026-03-09T00:00:00"/>
    <x v="1"/>
    <s v="2026"/>
    <s v="Web"/>
    <x v="6"/>
    <s v="airG - Club 3"/>
    <n v="702"/>
    <x v="4"/>
    <x v="33"/>
    <x v="0"/>
    <x v="0"/>
  </r>
  <r>
    <d v="2026-04-04T00:00:00"/>
    <x v="4"/>
    <s v="2026"/>
    <s v="Web"/>
    <x v="13"/>
    <s v="Zed - Club 3"/>
    <n v="508"/>
    <x v="3"/>
    <x v="10"/>
    <x v="0"/>
    <x v="0"/>
  </r>
  <r>
    <d v="2026-02-12T00:00:00"/>
    <x v="3"/>
    <s v="2026"/>
    <s v="Wap"/>
    <x v="8"/>
    <s v="KMD - Club 2"/>
    <n v="101"/>
    <x v="0"/>
    <x v="7"/>
    <x v="0"/>
    <x v="0"/>
  </r>
  <r>
    <d v="2026-02-08T00:00:00"/>
    <x v="3"/>
    <s v="2026"/>
    <s v="Web"/>
    <x v="2"/>
    <s v="Opratel - Club 1"/>
    <n v="300"/>
    <x v="6"/>
    <x v="20"/>
    <x v="1"/>
    <x v="1"/>
  </r>
  <r>
    <d v="2026-04-01T00:00:00"/>
    <x v="4"/>
    <s v="2026"/>
    <s v="Wap"/>
    <x v="7"/>
    <s v="Digevo - Club 2"/>
    <n v="108"/>
    <x v="0"/>
    <x v="53"/>
    <x v="0"/>
    <x v="0"/>
  </r>
  <r>
    <d v="2026-03-14T00:00:00"/>
    <x v="1"/>
    <s v="2026"/>
    <s v="Web"/>
    <x v="7"/>
    <s v="Digevo - Club 1"/>
    <n v="200"/>
    <x v="2"/>
    <x v="6"/>
    <x v="1"/>
    <x v="1"/>
  </r>
  <r>
    <d v="2026-04-16T00:00:00"/>
    <x v="4"/>
    <s v="2026"/>
    <s v="Web"/>
    <x v="6"/>
    <s v="airG - Club 1"/>
    <n v="307"/>
    <x v="6"/>
    <x v="26"/>
    <x v="0"/>
    <x v="0"/>
  </r>
  <r>
    <d v="2026-02-11T00:00:00"/>
    <x v="3"/>
    <s v="2026"/>
    <s v="Otro"/>
    <x v="8"/>
    <s v="KMD - Club 1"/>
    <n v="113"/>
    <x v="0"/>
    <x v="3"/>
    <x v="2"/>
    <x v="0"/>
  </r>
  <r>
    <d v="2026-01-10T00:00:00"/>
    <x v="0"/>
    <s v="2026"/>
    <s v="Wap"/>
    <x v="3"/>
    <s v="Celcom - Club 1"/>
    <n v="700"/>
    <x v="4"/>
    <x v="14"/>
    <x v="1"/>
    <x v="1"/>
  </r>
  <r>
    <d v="2026-05-05T00:00:00"/>
    <x v="2"/>
    <s v="2026"/>
    <s v="Web"/>
    <x v="11"/>
    <s v="AWG - Club 2"/>
    <n v="700"/>
    <x v="4"/>
    <x v="14"/>
    <x v="1"/>
    <x v="1"/>
  </r>
  <r>
    <d v="2026-02-16T00:00:00"/>
    <x v="3"/>
    <s v="2026"/>
    <s v="Web"/>
    <x v="14"/>
    <s v="FaroMobile - Club 1"/>
    <n v="703"/>
    <x v="4"/>
    <x v="9"/>
    <x v="0"/>
    <x v="0"/>
  </r>
  <r>
    <d v="2026-02-20T00:00:00"/>
    <x v="3"/>
    <s v="2026"/>
    <s v="Web"/>
    <x v="14"/>
    <s v="FaroMobile - Club 2"/>
    <n v="100"/>
    <x v="0"/>
    <x v="2"/>
    <x v="1"/>
    <x v="1"/>
  </r>
  <r>
    <d v="2026-02-25T00:00:00"/>
    <x v="3"/>
    <s v="2026"/>
    <s v="Wap"/>
    <x v="6"/>
    <s v="airG - Club 2"/>
    <n v="504"/>
    <x v="3"/>
    <x v="41"/>
    <x v="0"/>
    <x v="0"/>
  </r>
  <r>
    <d v="2026-03-02T00:00:00"/>
    <x v="1"/>
    <s v="2026"/>
    <s v="Tienda"/>
    <x v="0"/>
    <s v="Wasabi - Club 1"/>
    <n v="800"/>
    <x v="5"/>
    <x v="18"/>
    <x v="1"/>
    <x v="1"/>
  </r>
  <r>
    <d v="2026-01-09T00:00:00"/>
    <x v="0"/>
    <s v="2026"/>
    <s v="Wap"/>
    <x v="4"/>
    <s v="Chocolate - Club 3"/>
    <n v="114"/>
    <x v="0"/>
    <x v="59"/>
    <x v="0"/>
    <x v="0"/>
  </r>
  <r>
    <d v="2026-03-30T00:00:00"/>
    <x v="1"/>
    <s v="2026"/>
    <s v="Wap"/>
    <x v="3"/>
    <s v="Celcom - Club 2"/>
    <n v="200"/>
    <x v="2"/>
    <x v="6"/>
    <x v="1"/>
    <x v="1"/>
  </r>
  <r>
    <d v="2026-04-26T00:00:00"/>
    <x v="4"/>
    <s v="2026"/>
    <s v="Wap"/>
    <x v="14"/>
    <s v="FaroMobile - Club 2"/>
    <n v="500"/>
    <x v="3"/>
    <x v="8"/>
    <x v="1"/>
    <x v="1"/>
  </r>
  <r>
    <d v="2026-02-14T00:00:00"/>
    <x v="3"/>
    <s v="2026"/>
    <s v="Otro"/>
    <x v="10"/>
    <s v="SocialAst - Club 2"/>
    <n v="404"/>
    <x v="1"/>
    <x v="24"/>
    <x v="0"/>
    <x v="0"/>
  </r>
  <r>
    <d v="2026-02-07T00:00:00"/>
    <x v="3"/>
    <s v="2026"/>
    <s v="Web"/>
    <x v="1"/>
    <s v="Renxo - Club 2"/>
    <n v="407"/>
    <x v="1"/>
    <x v="47"/>
    <x v="0"/>
    <x v="0"/>
  </r>
  <r>
    <d v="2026-05-14T00:00:00"/>
    <x v="2"/>
    <s v="2026"/>
    <s v="Wap"/>
    <x v="1"/>
    <s v="Renxo - Club 2"/>
    <n v="800"/>
    <x v="5"/>
    <x v="18"/>
    <x v="1"/>
    <x v="1"/>
  </r>
  <r>
    <d v="2026-04-09T00:00:00"/>
    <x v="4"/>
    <s v="2026"/>
    <s v="Web"/>
    <x v="17"/>
    <s v="Digital Virgo - Club 1"/>
    <n v="302"/>
    <x v="6"/>
    <x v="46"/>
    <x v="0"/>
    <x v="0"/>
  </r>
  <r>
    <d v="2026-05-01T00:00:00"/>
    <x v="2"/>
    <s v="2026"/>
    <s v="Tienda"/>
    <x v="17"/>
    <s v="Digital Virgo - Club 1"/>
    <n v="700"/>
    <x v="4"/>
    <x v="14"/>
    <x v="1"/>
    <x v="1"/>
  </r>
  <r>
    <d v="2026-03-01T00:00:00"/>
    <x v="1"/>
    <s v="2026"/>
    <s v="Wap"/>
    <x v="0"/>
    <s v="Wasabi - Club 2"/>
    <n v="701"/>
    <x v="4"/>
    <x v="52"/>
    <x v="0"/>
    <x v="0"/>
  </r>
  <r>
    <d v="2026-03-25T00:00:00"/>
    <x v="1"/>
    <s v="2026"/>
    <s v="Wap"/>
    <x v="17"/>
    <s v="Digital Virgo - Club 3"/>
    <n v="400"/>
    <x v="1"/>
    <x v="1"/>
    <x v="1"/>
    <x v="1"/>
  </r>
  <r>
    <d v="2026-05-08T00:00:00"/>
    <x v="2"/>
    <s v="2026"/>
    <s v="Wap"/>
    <x v="3"/>
    <s v="Celcom - Club 3"/>
    <n v="104"/>
    <x v="0"/>
    <x v="5"/>
    <x v="2"/>
    <x v="0"/>
  </r>
  <r>
    <d v="2026-01-20T00:00:00"/>
    <x v="0"/>
    <s v="2026"/>
    <s v="SMS"/>
    <x v="11"/>
    <s v="AWG - Club 2"/>
    <n v="800"/>
    <x v="5"/>
    <x v="18"/>
    <x v="1"/>
    <x v="1"/>
  </r>
  <r>
    <d v="2026-02-18T00:00:00"/>
    <x v="3"/>
    <s v="2026"/>
    <s v="Web"/>
    <x v="1"/>
    <s v="Renxo - Club 3"/>
    <n v="402"/>
    <x v="1"/>
    <x v="12"/>
    <x v="0"/>
    <x v="0"/>
  </r>
  <r>
    <d v="2026-03-28T00:00:00"/>
    <x v="1"/>
    <s v="2026"/>
    <s v="Wap"/>
    <x v="4"/>
    <s v="Chocolate - Club 1"/>
    <n v="705"/>
    <x v="4"/>
    <x v="42"/>
    <x v="2"/>
    <x v="0"/>
  </r>
  <r>
    <d v="2026-04-09T00:00:00"/>
    <x v="4"/>
    <s v="2026"/>
    <s v="Wap"/>
    <x v="5"/>
    <s v="T-Mobs - Club 2"/>
    <n v="106"/>
    <x v="0"/>
    <x v="45"/>
    <x v="0"/>
    <x v="0"/>
  </r>
  <r>
    <d v="2026-05-14T00:00:00"/>
    <x v="2"/>
    <s v="2026"/>
    <s v="Wap"/>
    <x v="14"/>
    <s v="FaroMobile - Club 2"/>
    <n v="114"/>
    <x v="0"/>
    <x v="59"/>
    <x v="0"/>
    <x v="0"/>
  </r>
  <r>
    <d v="2026-01-01T00:00:00"/>
    <x v="0"/>
    <s v="2026"/>
    <s v="Otro"/>
    <x v="2"/>
    <s v="Opratel - Club 2"/>
    <n v="705"/>
    <x v="4"/>
    <x v="42"/>
    <x v="2"/>
    <x v="0"/>
  </r>
  <r>
    <d v="2026-03-13T00:00:00"/>
    <x v="1"/>
    <s v="2026"/>
    <s v="Otro"/>
    <x v="0"/>
    <s v="Wasabi - Club 3"/>
    <n v="800"/>
    <x v="5"/>
    <x v="18"/>
    <x v="1"/>
    <x v="1"/>
  </r>
  <r>
    <d v="2026-04-29T00:00:00"/>
    <x v="4"/>
    <s v="2026"/>
    <s v="Wap"/>
    <x v="0"/>
    <s v="Wasabi - Club 3"/>
    <n v="505"/>
    <x v="3"/>
    <x v="23"/>
    <x v="0"/>
    <x v="0"/>
  </r>
  <r>
    <d v="2026-03-10T00:00:00"/>
    <x v="1"/>
    <s v="2026"/>
    <s v="Otro"/>
    <x v="9"/>
    <s v="Cykadas - Club 1"/>
    <n v="100"/>
    <x v="0"/>
    <x v="2"/>
    <x v="1"/>
    <x v="1"/>
  </r>
  <r>
    <d v="2026-04-09T00:00:00"/>
    <x v="4"/>
    <s v="2026"/>
    <s v="Web"/>
    <x v="15"/>
    <s v="GPM - Club 2"/>
    <n v="505"/>
    <x v="3"/>
    <x v="23"/>
    <x v="0"/>
    <x v="0"/>
  </r>
  <r>
    <d v="2026-01-22T00:00:00"/>
    <x v="0"/>
    <s v="2026"/>
    <s v="Wap"/>
    <x v="14"/>
    <s v="FaroMobile - Club 1"/>
    <n v="800"/>
    <x v="5"/>
    <x v="18"/>
    <x v="1"/>
    <x v="1"/>
  </r>
  <r>
    <d v="2026-03-13T00:00:00"/>
    <x v="1"/>
    <s v="2026"/>
    <s v="Wap"/>
    <x v="0"/>
    <s v="Wasabi - Club 1"/>
    <n v="200"/>
    <x v="2"/>
    <x v="6"/>
    <x v="1"/>
    <x v="1"/>
  </r>
  <r>
    <d v="2026-05-15T00:00:00"/>
    <x v="2"/>
    <s v="2026"/>
    <s v="Wap"/>
    <x v="4"/>
    <s v="Chocolate - Club 3"/>
    <n v="109"/>
    <x v="0"/>
    <x v="31"/>
    <x v="2"/>
    <x v="0"/>
  </r>
  <r>
    <d v="2026-01-22T00:00:00"/>
    <x v="0"/>
    <s v="2026"/>
    <s v="Web"/>
    <x v="0"/>
    <s v="Wasabi - Club 1"/>
    <n v="400"/>
    <x v="1"/>
    <x v="1"/>
    <x v="1"/>
    <x v="1"/>
  </r>
  <r>
    <d v="2026-05-15T00:00:00"/>
    <x v="2"/>
    <s v="2026"/>
    <s v="Wap"/>
    <x v="10"/>
    <s v="SocialAst - Club 3"/>
    <n v="200"/>
    <x v="2"/>
    <x v="6"/>
    <x v="1"/>
    <x v="1"/>
  </r>
  <r>
    <d v="2026-01-22T00:00:00"/>
    <x v="0"/>
    <s v="2026"/>
    <s v="Wap"/>
    <x v="3"/>
    <s v="Celcom - Club 2"/>
    <n v="801"/>
    <x v="5"/>
    <x v="28"/>
    <x v="0"/>
    <x v="0"/>
  </r>
  <r>
    <d v="2026-01-05T00:00:00"/>
    <x v="0"/>
    <s v="2026"/>
    <s v="Otro"/>
    <x v="11"/>
    <s v="AWG - Club 3"/>
    <n v="504"/>
    <x v="3"/>
    <x v="41"/>
    <x v="0"/>
    <x v="0"/>
  </r>
  <r>
    <d v="2026-03-19T00:00:00"/>
    <x v="1"/>
    <s v="2026"/>
    <s v="Wap"/>
    <x v="7"/>
    <s v="Digevo - Club 1"/>
    <n v="200"/>
    <x v="2"/>
    <x v="6"/>
    <x v="1"/>
    <x v="1"/>
  </r>
  <r>
    <d v="2026-03-23T00:00:00"/>
    <x v="1"/>
    <s v="2026"/>
    <s v="Web"/>
    <x v="4"/>
    <s v="Chocolate - Club 2"/>
    <n v="300"/>
    <x v="6"/>
    <x v="20"/>
    <x v="1"/>
    <x v="1"/>
  </r>
  <r>
    <d v="2026-05-15T00:00:00"/>
    <x v="2"/>
    <s v="2026"/>
    <s v="Web"/>
    <x v="9"/>
    <s v="Cykadas - Club 1"/>
    <n v="503"/>
    <x v="3"/>
    <x v="48"/>
    <x v="0"/>
    <x v="0"/>
  </r>
  <r>
    <d v="2026-03-06T00:00:00"/>
    <x v="1"/>
    <s v="2026"/>
    <s v="Wap"/>
    <x v="12"/>
    <s v="Bennu - Club 3"/>
    <n v="502"/>
    <x v="3"/>
    <x v="27"/>
    <x v="0"/>
    <x v="0"/>
  </r>
  <r>
    <d v="2026-05-15T00:00:00"/>
    <x v="2"/>
    <s v="2026"/>
    <s v="Web"/>
    <x v="11"/>
    <s v="AWG - Club 1"/>
    <n v="800"/>
    <x v="5"/>
    <x v="18"/>
    <x v="1"/>
    <x v="1"/>
  </r>
  <r>
    <d v="2026-01-22T00:00:00"/>
    <x v="0"/>
    <s v="2026"/>
    <s v="Wap"/>
    <x v="5"/>
    <s v="T-Mobs - Club 2"/>
    <n v="205"/>
    <x v="2"/>
    <x v="34"/>
    <x v="0"/>
    <x v="0"/>
  </r>
  <r>
    <d v="2026-03-18T00:00:00"/>
    <x v="1"/>
    <s v="2026"/>
    <s v="Otro"/>
    <x v="3"/>
    <s v="Celcom - Club 3"/>
    <n v="200"/>
    <x v="2"/>
    <x v="6"/>
    <x v="1"/>
    <x v="1"/>
  </r>
  <r>
    <d v="2026-03-19T00:00:00"/>
    <x v="1"/>
    <s v="2026"/>
    <s v="Wap"/>
    <x v="15"/>
    <s v="GPM - Club 3"/>
    <n v="700"/>
    <x v="4"/>
    <x v="14"/>
    <x v="1"/>
    <x v="1"/>
  </r>
  <r>
    <d v="2026-01-22T00:00:00"/>
    <x v="0"/>
    <s v="2026"/>
    <s v="Otro"/>
    <x v="9"/>
    <s v="Cykadas - Club 3"/>
    <n v="702"/>
    <x v="4"/>
    <x v="33"/>
    <x v="0"/>
    <x v="0"/>
  </r>
  <r>
    <d v="2026-01-21T00:00:00"/>
    <x v="0"/>
    <s v="2026"/>
    <s v="Wap"/>
    <x v="7"/>
    <s v="Digevo - Club 1"/>
    <n v="400"/>
    <x v="1"/>
    <x v="1"/>
    <x v="1"/>
    <x v="1"/>
  </r>
  <r>
    <d v="2026-01-23T00:00:00"/>
    <x v="0"/>
    <s v="2026"/>
    <s v="Wap"/>
    <x v="0"/>
    <s v="Wasabi - Club 2"/>
    <n v="105"/>
    <x v="0"/>
    <x v="54"/>
    <x v="2"/>
    <x v="0"/>
  </r>
  <r>
    <d v="2026-02-22T00:00:00"/>
    <x v="3"/>
    <s v="2026"/>
    <s v="Wap"/>
    <x v="16"/>
    <s v="True Caller - Club 3"/>
    <n v="700"/>
    <x v="4"/>
    <x v="14"/>
    <x v="1"/>
    <x v="1"/>
  </r>
  <r>
    <d v="2026-03-14T00:00:00"/>
    <x v="1"/>
    <s v="2026"/>
    <s v="Web"/>
    <x v="5"/>
    <s v="T-Mobs - Club 3"/>
    <n v="112"/>
    <x v="0"/>
    <x v="0"/>
    <x v="0"/>
    <x v="0"/>
  </r>
  <r>
    <d v="2026-03-10T00:00:00"/>
    <x v="1"/>
    <s v="2026"/>
    <s v="Web"/>
    <x v="0"/>
    <s v="Wasabi - Club 3"/>
    <n v="500"/>
    <x v="3"/>
    <x v="8"/>
    <x v="1"/>
    <x v="1"/>
  </r>
  <r>
    <d v="2026-03-16T00:00:00"/>
    <x v="1"/>
    <s v="2026"/>
    <s v="Web"/>
    <x v="17"/>
    <s v="Digital Virgo - Club 2"/>
    <n v="108"/>
    <x v="0"/>
    <x v="53"/>
    <x v="0"/>
    <x v="0"/>
  </r>
  <r>
    <d v="2026-04-04T00:00:00"/>
    <x v="4"/>
    <s v="2026"/>
    <s v="Wap"/>
    <x v="8"/>
    <s v="KMD - Club 2"/>
    <n v="501"/>
    <x v="3"/>
    <x v="50"/>
    <x v="0"/>
    <x v="0"/>
  </r>
  <r>
    <d v="2026-05-09T00:00:00"/>
    <x v="2"/>
    <s v="2026"/>
    <s v="Wap"/>
    <x v="13"/>
    <s v="Zed - Club 1"/>
    <n v="304"/>
    <x v="6"/>
    <x v="49"/>
    <x v="0"/>
    <x v="0"/>
  </r>
  <r>
    <d v="2026-04-13T00:00:00"/>
    <x v="4"/>
    <s v="2026"/>
    <s v="Web"/>
    <x v="17"/>
    <s v="Digital Virgo - Club 1"/>
    <n v="100"/>
    <x v="0"/>
    <x v="2"/>
    <x v="1"/>
    <x v="1"/>
  </r>
  <r>
    <d v="2026-04-10T00:00:00"/>
    <x v="4"/>
    <s v="2026"/>
    <s v="Web"/>
    <x v="2"/>
    <s v="Opratel - Club 2"/>
    <n v="400"/>
    <x v="1"/>
    <x v="1"/>
    <x v="1"/>
    <x v="1"/>
  </r>
  <r>
    <d v="2026-01-14T00:00:00"/>
    <x v="0"/>
    <s v="2026"/>
    <s v="Web"/>
    <x v="15"/>
    <s v="GPM - Club 1"/>
    <n v="200"/>
    <x v="2"/>
    <x v="6"/>
    <x v="1"/>
    <x v="1"/>
  </r>
  <r>
    <d v="2026-01-19T00:00:00"/>
    <x v="0"/>
    <s v="2026"/>
    <s v="Wap"/>
    <x v="8"/>
    <s v="KMD - Club 2"/>
    <n v="100"/>
    <x v="0"/>
    <x v="2"/>
    <x v="1"/>
    <x v="1"/>
  </r>
  <r>
    <d v="2026-05-11T00:00:00"/>
    <x v="2"/>
    <s v="2026"/>
    <s v="Web"/>
    <x v="1"/>
    <s v="Renxo - Club 2"/>
    <n v="703"/>
    <x v="4"/>
    <x v="9"/>
    <x v="0"/>
    <x v="0"/>
  </r>
  <r>
    <d v="2026-04-30T00:00:00"/>
    <x v="4"/>
    <s v="2026"/>
    <s v="Sim"/>
    <x v="5"/>
    <s v="T-Mobs - Club 3"/>
    <n v="400"/>
    <x v="1"/>
    <x v="1"/>
    <x v="1"/>
    <x v="1"/>
  </r>
  <r>
    <d v="2026-02-23T00:00:00"/>
    <x v="3"/>
    <s v="2026"/>
    <s v="Otro"/>
    <x v="17"/>
    <s v="Digital Virgo - Club 3"/>
    <n v="705"/>
    <x v="4"/>
    <x v="42"/>
    <x v="2"/>
    <x v="0"/>
  </r>
  <r>
    <d v="2026-03-23T00:00:00"/>
    <x v="1"/>
    <s v="2026"/>
    <s v="Wap"/>
    <x v="3"/>
    <s v="Celcom - Club 2"/>
    <n v="300"/>
    <x v="6"/>
    <x v="20"/>
    <x v="1"/>
    <x v="1"/>
  </r>
  <r>
    <d v="2026-03-20T00:00:00"/>
    <x v="1"/>
    <s v="2026"/>
    <s v="Web"/>
    <x v="16"/>
    <s v="True Caller - Club 1"/>
    <n v="800"/>
    <x v="5"/>
    <x v="18"/>
    <x v="1"/>
    <x v="1"/>
  </r>
  <r>
    <d v="2026-02-01T00:00:00"/>
    <x v="3"/>
    <s v="2026"/>
    <s v="Wap"/>
    <x v="8"/>
    <s v="KMD - Club 3"/>
    <n v="109"/>
    <x v="0"/>
    <x v="31"/>
    <x v="2"/>
    <x v="0"/>
  </r>
  <r>
    <d v="2026-02-02T00:00:00"/>
    <x v="3"/>
    <s v="2026"/>
    <s v="Web"/>
    <x v="7"/>
    <s v="Digevo - Club 1"/>
    <n v="505"/>
    <x v="3"/>
    <x v="23"/>
    <x v="0"/>
    <x v="0"/>
  </r>
  <r>
    <d v="2026-03-12T00:00:00"/>
    <x v="1"/>
    <s v="2026"/>
    <s v="Web"/>
    <x v="6"/>
    <s v="airG - Club 2"/>
    <n v="700"/>
    <x v="4"/>
    <x v="14"/>
    <x v="1"/>
    <x v="1"/>
  </r>
  <r>
    <d v="2026-04-13T00:00:00"/>
    <x v="4"/>
    <s v="2026"/>
    <s v="Web"/>
    <x v="1"/>
    <s v="Renxo - Club 2"/>
    <n v="300"/>
    <x v="6"/>
    <x v="20"/>
    <x v="1"/>
    <x v="1"/>
  </r>
  <r>
    <d v="2026-02-12T00:00:00"/>
    <x v="3"/>
    <s v="2026"/>
    <s v="Web"/>
    <x v="1"/>
    <s v="Renxo - Club 1"/>
    <n v="204"/>
    <x v="2"/>
    <x v="21"/>
    <x v="0"/>
    <x v="0"/>
  </r>
  <r>
    <d v="2026-03-07T00:00:00"/>
    <x v="1"/>
    <s v="2026"/>
    <s v="Wap"/>
    <x v="16"/>
    <s v="True Caller - Club 2"/>
    <n v="300"/>
    <x v="6"/>
    <x v="20"/>
    <x v="1"/>
    <x v="1"/>
  </r>
  <r>
    <d v="2026-01-23T00:00:00"/>
    <x v="0"/>
    <s v="2026"/>
    <s v="Wap"/>
    <x v="0"/>
    <s v="Wasabi - Club 3"/>
    <n v="700"/>
    <x v="4"/>
    <x v="14"/>
    <x v="1"/>
    <x v="1"/>
  </r>
  <r>
    <d v="2026-02-04T00:00:00"/>
    <x v="3"/>
    <s v="2026"/>
    <s v="Wap"/>
    <x v="16"/>
    <s v="True Caller - Club 1"/>
    <n v="305"/>
    <x v="6"/>
    <x v="60"/>
    <x v="0"/>
    <x v="0"/>
  </r>
  <r>
    <d v="2026-01-01T00:00:00"/>
    <x v="0"/>
    <s v="2026"/>
    <s v="Otro"/>
    <x v="5"/>
    <s v="T-Mobs - Club 3"/>
    <n v="200"/>
    <x v="2"/>
    <x v="6"/>
    <x v="1"/>
    <x v="1"/>
  </r>
  <r>
    <d v="2026-02-05T00:00:00"/>
    <x v="3"/>
    <s v="2026"/>
    <s v="Wap"/>
    <x v="12"/>
    <s v="Bennu - Club 3"/>
    <n v="100"/>
    <x v="0"/>
    <x v="2"/>
    <x v="1"/>
    <x v="1"/>
  </r>
  <r>
    <d v="2026-01-28T00:00:00"/>
    <x v="0"/>
    <s v="2026"/>
    <s v="Web"/>
    <x v="2"/>
    <s v="Opratel - Club 3"/>
    <n v="408"/>
    <x v="1"/>
    <x v="4"/>
    <x v="0"/>
    <x v="0"/>
  </r>
  <r>
    <d v="2026-03-06T00:00:00"/>
    <x v="1"/>
    <s v="2026"/>
    <s v="Wap"/>
    <x v="4"/>
    <s v="Chocolate - Club 2"/>
    <n v="704"/>
    <x v="4"/>
    <x v="37"/>
    <x v="0"/>
    <x v="0"/>
  </r>
  <r>
    <d v="2026-01-25T00:00:00"/>
    <x v="0"/>
    <s v="2026"/>
    <s v="Web"/>
    <x v="14"/>
    <s v="FaroMobile - Club 3"/>
    <n v="500"/>
    <x v="3"/>
    <x v="8"/>
    <x v="1"/>
    <x v="1"/>
  </r>
  <r>
    <d v="2026-03-08T00:00:00"/>
    <x v="1"/>
    <s v="2026"/>
    <s v="Wap"/>
    <x v="1"/>
    <s v="Renxo - Club 3"/>
    <n v="205"/>
    <x v="2"/>
    <x v="34"/>
    <x v="0"/>
    <x v="0"/>
  </r>
  <r>
    <d v="2026-03-26T00:00:00"/>
    <x v="1"/>
    <s v="2026"/>
    <s v="Wap"/>
    <x v="4"/>
    <s v="Chocolate - Club 2"/>
    <n v="202"/>
    <x v="2"/>
    <x v="58"/>
    <x v="2"/>
    <x v="0"/>
  </r>
  <r>
    <d v="2026-01-12T00:00:00"/>
    <x v="0"/>
    <s v="2026"/>
    <s v="Otro"/>
    <x v="11"/>
    <s v="AWG - Club 2"/>
    <n v="300"/>
    <x v="6"/>
    <x v="20"/>
    <x v="1"/>
    <x v="1"/>
  </r>
  <r>
    <d v="2026-03-16T00:00:00"/>
    <x v="1"/>
    <s v="2026"/>
    <s v="Web"/>
    <x v="5"/>
    <s v="T-Mobs - Club 1"/>
    <n v="300"/>
    <x v="6"/>
    <x v="20"/>
    <x v="1"/>
    <x v="1"/>
  </r>
  <r>
    <d v="2026-05-10T00:00:00"/>
    <x v="2"/>
    <s v="2026"/>
    <s v="Otro"/>
    <x v="11"/>
    <s v="AWG - Club 3"/>
    <n v="400"/>
    <x v="1"/>
    <x v="1"/>
    <x v="1"/>
    <x v="1"/>
  </r>
  <r>
    <d v="2026-04-19T00:00:00"/>
    <x v="4"/>
    <s v="2026"/>
    <s v="SMS"/>
    <x v="16"/>
    <s v="True Caller - Club 2"/>
    <n v="111"/>
    <x v="0"/>
    <x v="43"/>
    <x v="0"/>
    <x v="0"/>
  </r>
  <r>
    <d v="2026-01-21T00:00:00"/>
    <x v="0"/>
    <s v="2026"/>
    <s v="Web"/>
    <x v="16"/>
    <s v="True Caller - Club 2"/>
    <n v="700"/>
    <x v="4"/>
    <x v="14"/>
    <x v="1"/>
    <x v="1"/>
  </r>
  <r>
    <d v="2026-01-27T00:00:00"/>
    <x v="0"/>
    <s v="2026"/>
    <s v="SAT"/>
    <x v="10"/>
    <s v="SocialAst - Club 1"/>
    <n v="100"/>
    <x v="0"/>
    <x v="2"/>
    <x v="1"/>
    <x v="1"/>
  </r>
  <r>
    <d v="2026-04-14T00:00:00"/>
    <x v="4"/>
    <s v="2026"/>
    <s v="Wap"/>
    <x v="7"/>
    <s v="Digevo - Club 3"/>
    <n v="500"/>
    <x v="3"/>
    <x v="8"/>
    <x v="1"/>
    <x v="1"/>
  </r>
  <r>
    <d v="2026-03-11T00:00:00"/>
    <x v="1"/>
    <s v="2026"/>
    <s v="Sim"/>
    <x v="12"/>
    <s v="Bennu - Club 1"/>
    <n v="100"/>
    <x v="0"/>
    <x v="2"/>
    <x v="1"/>
    <x v="1"/>
  </r>
  <r>
    <d v="2026-01-15T00:00:00"/>
    <x v="0"/>
    <s v="2026"/>
    <s v="Wap"/>
    <x v="4"/>
    <s v="Chocolate - Club 3"/>
    <n v="700"/>
    <x v="4"/>
    <x v="14"/>
    <x v="1"/>
    <x v="1"/>
  </r>
  <r>
    <d v="2026-04-19T00:00:00"/>
    <x v="4"/>
    <s v="2026"/>
    <s v="SMS"/>
    <x v="6"/>
    <s v="airG - Club 1"/>
    <n v="300"/>
    <x v="6"/>
    <x v="20"/>
    <x v="1"/>
    <x v="1"/>
  </r>
  <r>
    <d v="2026-03-20T00:00:00"/>
    <x v="1"/>
    <s v="2026"/>
    <s v="Wap"/>
    <x v="9"/>
    <s v="Cykadas - Club 3"/>
    <n v="306"/>
    <x v="6"/>
    <x v="56"/>
    <x v="0"/>
    <x v="0"/>
  </r>
  <r>
    <d v="2026-03-18T00:00:00"/>
    <x v="1"/>
    <s v="2026"/>
    <s v="Web"/>
    <x v="2"/>
    <s v="Opratel - Club 1"/>
    <n v="400"/>
    <x v="1"/>
    <x v="1"/>
    <x v="1"/>
    <x v="1"/>
  </r>
  <r>
    <d v="2026-03-17T00:00:00"/>
    <x v="1"/>
    <s v="2026"/>
    <s v="Wap"/>
    <x v="14"/>
    <s v="FaroMobile - Club 2"/>
    <n v="300"/>
    <x v="6"/>
    <x v="20"/>
    <x v="1"/>
    <x v="1"/>
  </r>
  <r>
    <d v="2026-01-30T00:00:00"/>
    <x v="0"/>
    <s v="2026"/>
    <s v="Wap"/>
    <x v="10"/>
    <s v="SocialAst - Club 1"/>
    <n v="305"/>
    <x v="6"/>
    <x v="60"/>
    <x v="0"/>
    <x v="0"/>
  </r>
  <r>
    <d v="2026-02-09T00:00:00"/>
    <x v="3"/>
    <s v="2026"/>
    <s v="Web"/>
    <x v="14"/>
    <s v="FaroMobile - Club 3"/>
    <n v="114"/>
    <x v="0"/>
    <x v="59"/>
    <x v="0"/>
    <x v="0"/>
  </r>
  <r>
    <d v="2026-01-23T00:00:00"/>
    <x v="0"/>
    <s v="2026"/>
    <s v="Wap"/>
    <x v="11"/>
    <s v="AWG - Club 3"/>
    <n v="800"/>
    <x v="5"/>
    <x v="18"/>
    <x v="1"/>
    <x v="1"/>
  </r>
  <r>
    <d v="2026-01-19T00:00:00"/>
    <x v="0"/>
    <s v="2026"/>
    <s v="Web"/>
    <x v="5"/>
    <s v="T-Mobs - Club 3"/>
    <n v="409"/>
    <x v="1"/>
    <x v="51"/>
    <x v="0"/>
    <x v="0"/>
  </r>
  <r>
    <d v="2026-03-02T00:00:00"/>
    <x v="1"/>
    <s v="2026"/>
    <s v="Wap"/>
    <x v="13"/>
    <s v="Zed - Club 2"/>
    <n v="400"/>
    <x v="1"/>
    <x v="1"/>
    <x v="1"/>
    <x v="1"/>
  </r>
  <r>
    <d v="2026-03-03T00:00:00"/>
    <x v="1"/>
    <s v="2026"/>
    <s v="Wap"/>
    <x v="10"/>
    <s v="SocialAst - Club 3"/>
    <n v="505"/>
    <x v="3"/>
    <x v="23"/>
    <x v="0"/>
    <x v="0"/>
  </r>
  <r>
    <d v="2026-01-28T00:00:00"/>
    <x v="0"/>
    <s v="2026"/>
    <s v="Web"/>
    <x v="11"/>
    <s v="AWG - Club 3"/>
    <n v="101"/>
    <x v="0"/>
    <x v="7"/>
    <x v="0"/>
    <x v="0"/>
  </r>
  <r>
    <d v="2026-04-01T00:00:00"/>
    <x v="4"/>
    <s v="2026"/>
    <s v="Wap"/>
    <x v="13"/>
    <s v="Zed - Club 3"/>
    <n v="504"/>
    <x v="3"/>
    <x v="41"/>
    <x v="0"/>
    <x v="0"/>
  </r>
  <r>
    <d v="2026-05-11T00:00:00"/>
    <x v="2"/>
    <s v="2026"/>
    <s v="Web"/>
    <x v="6"/>
    <s v="airG - Club 1"/>
    <n v="300"/>
    <x v="6"/>
    <x v="20"/>
    <x v="1"/>
    <x v="1"/>
  </r>
  <r>
    <d v="2026-01-06T00:00:00"/>
    <x v="0"/>
    <s v="2026"/>
    <s v="Wap"/>
    <x v="1"/>
    <s v="Renxo - Club 1"/>
    <n v="200"/>
    <x v="2"/>
    <x v="6"/>
    <x v="1"/>
    <x v="1"/>
  </r>
  <r>
    <d v="2026-05-07T00:00:00"/>
    <x v="2"/>
    <s v="2026"/>
    <s v="Web"/>
    <x v="8"/>
    <s v="KMD - Club 3"/>
    <n v="500"/>
    <x v="3"/>
    <x v="8"/>
    <x v="1"/>
    <x v="1"/>
  </r>
  <r>
    <d v="2026-04-06T00:00:00"/>
    <x v="4"/>
    <s v="2026"/>
    <s v="Web"/>
    <x v="13"/>
    <s v="Zed - Club 2"/>
    <n v="800"/>
    <x v="5"/>
    <x v="18"/>
    <x v="1"/>
    <x v="1"/>
  </r>
  <r>
    <d v="2026-05-02T00:00:00"/>
    <x v="2"/>
    <s v="2026"/>
    <s v="Web"/>
    <x v="2"/>
    <s v="Opratel - Club 1"/>
    <n v="800"/>
    <x v="5"/>
    <x v="18"/>
    <x v="1"/>
    <x v="1"/>
  </r>
  <r>
    <d v="2026-03-13T00:00:00"/>
    <x v="1"/>
    <s v="2026"/>
    <s v="Wap"/>
    <x v="6"/>
    <s v="airG - Club 3"/>
    <n v="111"/>
    <x v="0"/>
    <x v="43"/>
    <x v="0"/>
    <x v="0"/>
  </r>
  <r>
    <d v="2026-02-05T00:00:00"/>
    <x v="3"/>
    <s v="2026"/>
    <s v="Web"/>
    <x v="5"/>
    <s v="T-Mobs - Club 3"/>
    <n v="801"/>
    <x v="5"/>
    <x v="28"/>
    <x v="0"/>
    <x v="0"/>
  </r>
  <r>
    <d v="2026-01-31T00:00:00"/>
    <x v="0"/>
    <s v="2026"/>
    <s v="Wap"/>
    <x v="4"/>
    <s v="Chocolate - Club 1"/>
    <n v="507"/>
    <x v="3"/>
    <x v="13"/>
    <x v="0"/>
    <x v="0"/>
  </r>
  <r>
    <d v="2026-01-03T00:00:00"/>
    <x v="0"/>
    <s v="2026"/>
    <s v="Web"/>
    <x v="6"/>
    <s v="airG - Club 3"/>
    <n v="401"/>
    <x v="1"/>
    <x v="16"/>
    <x v="0"/>
    <x v="0"/>
  </r>
  <r>
    <d v="2026-04-10T00:00:00"/>
    <x v="4"/>
    <s v="2026"/>
    <s v="Wap"/>
    <x v="14"/>
    <s v="FaroMobile - Club 2"/>
    <n v="802"/>
    <x v="5"/>
    <x v="25"/>
    <x v="0"/>
    <x v="0"/>
  </r>
  <r>
    <d v="2026-04-21T00:00:00"/>
    <x v="4"/>
    <s v="2026"/>
    <s v="SMS"/>
    <x v="14"/>
    <s v="FaroMobile - Club 3"/>
    <n v="500"/>
    <x v="3"/>
    <x v="8"/>
    <x v="1"/>
    <x v="1"/>
  </r>
  <r>
    <d v="2026-03-12T00:00:00"/>
    <x v="1"/>
    <s v="2026"/>
    <s v="Web"/>
    <x v="6"/>
    <s v="airG - Club 3"/>
    <n v="102"/>
    <x v="0"/>
    <x v="38"/>
    <x v="0"/>
    <x v="0"/>
  </r>
  <r>
    <d v="2026-05-02T00:00:00"/>
    <x v="2"/>
    <s v="2026"/>
    <s v="Web"/>
    <x v="2"/>
    <s v="Opratel - Club 1"/>
    <n v="504"/>
    <x v="3"/>
    <x v="41"/>
    <x v="0"/>
    <x v="0"/>
  </r>
  <r>
    <d v="2026-04-08T00:00:00"/>
    <x v="4"/>
    <s v="2026"/>
    <s v="Web"/>
    <x v="0"/>
    <s v="Wasabi - Club 3"/>
    <n v="304"/>
    <x v="6"/>
    <x v="49"/>
    <x v="0"/>
    <x v="0"/>
  </r>
  <r>
    <d v="2026-05-01T00:00:00"/>
    <x v="2"/>
    <s v="2026"/>
    <s v="Wap"/>
    <x v="2"/>
    <s v="Opratel - Club 1"/>
    <n v="308"/>
    <x v="6"/>
    <x v="44"/>
    <x v="0"/>
    <x v="0"/>
  </r>
  <r>
    <d v="2026-01-13T00:00:00"/>
    <x v="0"/>
    <s v="2026"/>
    <s v="Web"/>
    <x v="15"/>
    <s v="GPM - Club 1"/>
    <n v="400"/>
    <x v="1"/>
    <x v="1"/>
    <x v="1"/>
    <x v="1"/>
  </r>
  <r>
    <d v="2026-02-08T00:00:00"/>
    <x v="3"/>
    <s v="2026"/>
    <s v="Web"/>
    <x v="5"/>
    <s v="T-Mobs - Club 3"/>
    <n v="506"/>
    <x v="3"/>
    <x v="17"/>
    <x v="0"/>
    <x v="0"/>
  </r>
  <r>
    <d v="2026-01-20T00:00:00"/>
    <x v="0"/>
    <s v="2026"/>
    <s v="Web"/>
    <x v="10"/>
    <s v="SocialAst - Club 1"/>
    <n v="100"/>
    <x v="0"/>
    <x v="2"/>
    <x v="1"/>
    <x v="1"/>
  </r>
  <r>
    <d v="2026-04-21T00:00:00"/>
    <x v="4"/>
    <s v="2026"/>
    <s v="Wap"/>
    <x v="8"/>
    <s v="KMD - Club 3"/>
    <n v="200"/>
    <x v="2"/>
    <x v="6"/>
    <x v="1"/>
    <x v="1"/>
  </r>
  <r>
    <d v="2026-04-13T00:00:00"/>
    <x v="4"/>
    <s v="2026"/>
    <s v="Web"/>
    <x v="16"/>
    <s v="True Caller - Club 3"/>
    <n v="304"/>
    <x v="6"/>
    <x v="49"/>
    <x v="0"/>
    <x v="0"/>
  </r>
  <r>
    <d v="2026-02-09T00:00:00"/>
    <x v="3"/>
    <s v="2026"/>
    <s v="Tienda"/>
    <x v="12"/>
    <s v="Bennu - Club 2"/>
    <n v="210"/>
    <x v="2"/>
    <x v="22"/>
    <x v="0"/>
    <x v="0"/>
  </r>
  <r>
    <d v="2026-05-01T00:00:00"/>
    <x v="2"/>
    <s v="2026"/>
    <s v="Wap"/>
    <x v="1"/>
    <s v="Renxo - Club 3"/>
    <n v="508"/>
    <x v="3"/>
    <x v="10"/>
    <x v="0"/>
    <x v="0"/>
  </r>
  <r>
    <d v="2026-02-16T00:00:00"/>
    <x v="3"/>
    <s v="2026"/>
    <s v="Web"/>
    <x v="3"/>
    <s v="Celcom - Club 2"/>
    <n v="300"/>
    <x v="6"/>
    <x v="20"/>
    <x v="1"/>
    <x v="1"/>
  </r>
  <r>
    <d v="2026-01-18T00:00:00"/>
    <x v="0"/>
    <s v="2026"/>
    <s v="Otro"/>
    <x v="10"/>
    <s v="SocialAst - Club 3"/>
    <n v="100"/>
    <x v="0"/>
    <x v="2"/>
    <x v="1"/>
    <x v="1"/>
  </r>
  <r>
    <d v="2026-02-26T00:00:00"/>
    <x v="3"/>
    <s v="2026"/>
    <s v="Wap"/>
    <x v="5"/>
    <s v="T-Mobs - Club 2"/>
    <n v="800"/>
    <x v="5"/>
    <x v="18"/>
    <x v="1"/>
    <x v="1"/>
  </r>
  <r>
    <d v="2026-03-04T00:00:00"/>
    <x v="1"/>
    <s v="2026"/>
    <s v="Wap"/>
    <x v="1"/>
    <s v="Renxo - Club 2"/>
    <n v="400"/>
    <x v="1"/>
    <x v="1"/>
    <x v="1"/>
    <x v="1"/>
  </r>
  <r>
    <d v="2026-02-12T00:00:00"/>
    <x v="3"/>
    <s v="2026"/>
    <s v="Otro"/>
    <x v="13"/>
    <s v="Zed - Club 2"/>
    <n v="700"/>
    <x v="4"/>
    <x v="14"/>
    <x v="1"/>
    <x v="1"/>
  </r>
  <r>
    <d v="2026-01-28T00:00:00"/>
    <x v="0"/>
    <s v="2026"/>
    <s v="Web"/>
    <x v="3"/>
    <s v="Celcom - Club 1"/>
    <n v="800"/>
    <x v="5"/>
    <x v="18"/>
    <x v="1"/>
    <x v="1"/>
  </r>
  <r>
    <d v="2026-04-06T00:00:00"/>
    <x v="4"/>
    <s v="2026"/>
    <s v="Web"/>
    <x v="4"/>
    <s v="Chocolate - Club 2"/>
    <n v="300"/>
    <x v="6"/>
    <x v="20"/>
    <x v="1"/>
    <x v="1"/>
  </r>
  <r>
    <d v="2026-05-13T00:00:00"/>
    <x v="2"/>
    <s v="2026"/>
    <s v="Wap"/>
    <x v="4"/>
    <s v="Chocolate - Club 1"/>
    <n v="405"/>
    <x v="1"/>
    <x v="35"/>
    <x v="2"/>
    <x v="0"/>
  </r>
  <r>
    <d v="2026-02-23T00:00:00"/>
    <x v="3"/>
    <s v="2026"/>
    <s v="Wap"/>
    <x v="5"/>
    <s v="T-Mobs - Club 3"/>
    <n v="800"/>
    <x v="5"/>
    <x v="18"/>
    <x v="1"/>
    <x v="1"/>
  </r>
  <r>
    <d v="2026-04-08T00:00:00"/>
    <x v="4"/>
    <s v="2026"/>
    <s v="Wap"/>
    <x v="1"/>
    <s v="Renxo - Club 1"/>
    <n v="200"/>
    <x v="2"/>
    <x v="6"/>
    <x v="1"/>
    <x v="1"/>
  </r>
  <r>
    <d v="2026-02-19T00:00:00"/>
    <x v="3"/>
    <s v="2026"/>
    <s v="Otro"/>
    <x v="15"/>
    <s v="GPM - Club 3"/>
    <n v="200"/>
    <x v="2"/>
    <x v="6"/>
    <x v="1"/>
    <x v="1"/>
  </r>
  <r>
    <d v="2026-04-16T00:00:00"/>
    <x v="4"/>
    <s v="2026"/>
    <s v="Web"/>
    <x v="16"/>
    <s v="True Caller - Club 1"/>
    <n v="400"/>
    <x v="1"/>
    <x v="1"/>
    <x v="1"/>
    <x v="1"/>
  </r>
  <r>
    <d v="2026-02-27T00:00:00"/>
    <x v="3"/>
    <s v="2026"/>
    <s v="SMS"/>
    <x v="11"/>
    <s v="AWG - Club 1"/>
    <n v="300"/>
    <x v="6"/>
    <x v="20"/>
    <x v="1"/>
    <x v="1"/>
  </r>
  <r>
    <d v="2026-01-13T00:00:00"/>
    <x v="0"/>
    <s v="2026"/>
    <s v="Wap"/>
    <x v="10"/>
    <s v="SocialAst - Club 1"/>
    <n v="400"/>
    <x v="1"/>
    <x v="1"/>
    <x v="1"/>
    <x v="1"/>
  </r>
  <r>
    <d v="2026-04-09T00:00:00"/>
    <x v="4"/>
    <s v="2026"/>
    <s v="Web"/>
    <x v="11"/>
    <s v="AWG - Club 2"/>
    <n v="704"/>
    <x v="4"/>
    <x v="37"/>
    <x v="0"/>
    <x v="0"/>
  </r>
  <r>
    <d v="2026-03-08T00:00:00"/>
    <x v="1"/>
    <s v="2026"/>
    <s v="Wap"/>
    <x v="1"/>
    <s v="Renxo - Club 1"/>
    <n v="502"/>
    <x v="3"/>
    <x v="27"/>
    <x v="0"/>
    <x v="0"/>
  </r>
  <r>
    <d v="2026-01-01T00:00:00"/>
    <x v="0"/>
    <s v="2026"/>
    <s v="SMS"/>
    <x v="8"/>
    <s v="KMD - Club 3"/>
    <n v="802"/>
    <x v="5"/>
    <x v="25"/>
    <x v="0"/>
    <x v="0"/>
  </r>
  <r>
    <d v="2026-01-30T00:00:00"/>
    <x v="0"/>
    <s v="2026"/>
    <s v="Wap"/>
    <x v="2"/>
    <s v="Opratel - Club 3"/>
    <n v="508"/>
    <x v="3"/>
    <x v="10"/>
    <x v="0"/>
    <x v="0"/>
  </r>
  <r>
    <d v="2026-03-05T00:00:00"/>
    <x v="1"/>
    <s v="2026"/>
    <s v="Web"/>
    <x v="8"/>
    <s v="KMD - Club 1"/>
    <n v="500"/>
    <x v="3"/>
    <x v="8"/>
    <x v="1"/>
    <x v="1"/>
  </r>
  <r>
    <d v="2026-01-27T00:00:00"/>
    <x v="0"/>
    <s v="2026"/>
    <s v="Wap"/>
    <x v="1"/>
    <s v="Renxo - Club 3"/>
    <n v="200"/>
    <x v="2"/>
    <x v="6"/>
    <x v="1"/>
    <x v="1"/>
  </r>
  <r>
    <d v="2026-02-05T00:00:00"/>
    <x v="3"/>
    <s v="2026"/>
    <s v="Otro"/>
    <x v="13"/>
    <s v="Zed - Club 3"/>
    <n v="109"/>
    <x v="0"/>
    <x v="31"/>
    <x v="2"/>
    <x v="0"/>
  </r>
  <r>
    <d v="2026-04-25T00:00:00"/>
    <x v="4"/>
    <s v="2026"/>
    <s v="Wap"/>
    <x v="17"/>
    <s v="Digital Virgo - Club 1"/>
    <n v="112"/>
    <x v="0"/>
    <x v="0"/>
    <x v="0"/>
    <x v="0"/>
  </r>
  <r>
    <d v="2026-03-24T00:00:00"/>
    <x v="1"/>
    <s v="2026"/>
    <s v="Wap"/>
    <x v="4"/>
    <s v="Chocolate - Club 3"/>
    <n v="409"/>
    <x v="1"/>
    <x v="51"/>
    <x v="0"/>
    <x v="0"/>
  </r>
  <r>
    <d v="2026-05-10T00:00:00"/>
    <x v="2"/>
    <s v="2026"/>
    <s v="Otro"/>
    <x v="11"/>
    <s v="AWG - Club 1"/>
    <n v="300"/>
    <x v="6"/>
    <x v="20"/>
    <x v="1"/>
    <x v="1"/>
  </r>
  <r>
    <d v="2026-01-27T00:00:00"/>
    <x v="0"/>
    <s v="2026"/>
    <s v="Wap"/>
    <x v="3"/>
    <s v="Celcom - Club 1"/>
    <n v="303"/>
    <x v="6"/>
    <x v="61"/>
    <x v="0"/>
    <x v="0"/>
  </r>
  <r>
    <d v="2026-04-22T00:00:00"/>
    <x v="4"/>
    <s v="2026"/>
    <s v="Wap"/>
    <x v="11"/>
    <s v="AWG - Club 2"/>
    <n v="306"/>
    <x v="6"/>
    <x v="56"/>
    <x v="0"/>
    <x v="0"/>
  </r>
  <r>
    <d v="2026-02-12T00:00:00"/>
    <x v="3"/>
    <s v="2026"/>
    <s v="Wap"/>
    <x v="6"/>
    <s v="airG - Club 3"/>
    <n v="704"/>
    <x v="4"/>
    <x v="37"/>
    <x v="0"/>
    <x v="0"/>
  </r>
  <r>
    <d v="2026-01-26T00:00:00"/>
    <x v="0"/>
    <s v="2026"/>
    <s v="Web"/>
    <x v="0"/>
    <s v="Wasabi - Club 3"/>
    <n v="200"/>
    <x v="2"/>
    <x v="6"/>
    <x v="1"/>
    <x v="1"/>
  </r>
  <r>
    <d v="2026-02-18T00:00:00"/>
    <x v="3"/>
    <s v="2026"/>
    <s v="Web"/>
    <x v="16"/>
    <s v="True Caller - Club 1"/>
    <n v="700"/>
    <x v="4"/>
    <x v="14"/>
    <x v="1"/>
    <x v="1"/>
  </r>
  <r>
    <d v="2026-03-10T00:00:00"/>
    <x v="1"/>
    <s v="2026"/>
    <s v="Web"/>
    <x v="9"/>
    <s v="Cykadas - Club 1"/>
    <n v="201"/>
    <x v="2"/>
    <x v="30"/>
    <x v="0"/>
    <x v="0"/>
  </r>
  <r>
    <d v="2026-03-15T00:00:00"/>
    <x v="1"/>
    <s v="2026"/>
    <s v="Web"/>
    <x v="13"/>
    <s v="Zed - Club 3"/>
    <n v="500"/>
    <x v="3"/>
    <x v="8"/>
    <x v="1"/>
    <x v="1"/>
  </r>
  <r>
    <d v="2026-03-23T00:00:00"/>
    <x v="1"/>
    <s v="2026"/>
    <s v="Wap"/>
    <x v="9"/>
    <s v="Cykadas - Club 1"/>
    <n v="112"/>
    <x v="0"/>
    <x v="0"/>
    <x v="0"/>
    <x v="0"/>
  </r>
  <r>
    <d v="2026-05-05T00:00:00"/>
    <x v="2"/>
    <s v="2026"/>
    <s v="Otro"/>
    <x v="8"/>
    <s v="KMD - Club 3"/>
    <n v="705"/>
    <x v="4"/>
    <x v="42"/>
    <x v="2"/>
    <x v="0"/>
  </r>
  <r>
    <d v="2026-03-18T00:00:00"/>
    <x v="1"/>
    <s v="2026"/>
    <s v="Wap"/>
    <x v="5"/>
    <s v="T-Mobs - Club 3"/>
    <n v="200"/>
    <x v="2"/>
    <x v="6"/>
    <x v="1"/>
    <x v="1"/>
  </r>
  <r>
    <d v="2026-04-07T00:00:00"/>
    <x v="4"/>
    <s v="2026"/>
    <s v="Web"/>
    <x v="11"/>
    <s v="AWG - Club 1"/>
    <n v="700"/>
    <x v="4"/>
    <x v="14"/>
    <x v="1"/>
    <x v="1"/>
  </r>
  <r>
    <d v="2026-05-02T00:00:00"/>
    <x v="2"/>
    <s v="2026"/>
    <s v="Web"/>
    <x v="15"/>
    <s v="GPM - Club 2"/>
    <n v="400"/>
    <x v="1"/>
    <x v="1"/>
    <x v="1"/>
    <x v="1"/>
  </r>
  <r>
    <d v="2026-02-07T00:00:00"/>
    <x v="3"/>
    <s v="2026"/>
    <s v="Web"/>
    <x v="14"/>
    <s v="FaroMobile - Club 1"/>
    <n v="100"/>
    <x v="0"/>
    <x v="2"/>
    <x v="1"/>
    <x v="1"/>
  </r>
  <r>
    <d v="2026-04-05T00:00:00"/>
    <x v="4"/>
    <s v="2026"/>
    <s v="Tienda"/>
    <x v="12"/>
    <s v="Bennu - Club 2"/>
    <n v="200"/>
    <x v="2"/>
    <x v="6"/>
    <x v="1"/>
    <x v="1"/>
  </r>
  <r>
    <d v="2026-01-30T00:00:00"/>
    <x v="0"/>
    <s v="2026"/>
    <s v="Wap"/>
    <x v="9"/>
    <s v="Cykadas - Club 3"/>
    <n v="500"/>
    <x v="3"/>
    <x v="8"/>
    <x v="1"/>
    <x v="1"/>
  </r>
  <r>
    <d v="2026-03-03T00:00:00"/>
    <x v="1"/>
    <s v="2026"/>
    <s v="Web"/>
    <x v="11"/>
    <s v="AWG - Club 1"/>
    <n v="307"/>
    <x v="6"/>
    <x v="26"/>
    <x v="0"/>
    <x v="0"/>
  </r>
  <r>
    <d v="2026-01-16T00:00:00"/>
    <x v="0"/>
    <s v="2026"/>
    <s v="Wap"/>
    <x v="14"/>
    <s v="FaroMobile - Club 2"/>
    <n v="200"/>
    <x v="2"/>
    <x v="6"/>
    <x v="1"/>
    <x v="1"/>
  </r>
  <r>
    <d v="2026-04-26T00:00:00"/>
    <x v="4"/>
    <s v="2026"/>
    <s v="Wap"/>
    <x v="4"/>
    <s v="Chocolate - Club 3"/>
    <n v="800"/>
    <x v="5"/>
    <x v="18"/>
    <x v="1"/>
    <x v="1"/>
  </r>
  <r>
    <d v="2026-04-18T00:00:00"/>
    <x v="4"/>
    <s v="2026"/>
    <s v="Wap"/>
    <x v="9"/>
    <s v="Cykadas - Club 2"/>
    <n v="300"/>
    <x v="6"/>
    <x v="20"/>
    <x v="1"/>
    <x v="1"/>
  </r>
  <r>
    <d v="2026-04-21T00:00:00"/>
    <x v="4"/>
    <s v="2026"/>
    <s v="Web"/>
    <x v="0"/>
    <s v="Wasabi - Club 2"/>
    <n v="307"/>
    <x v="6"/>
    <x v="26"/>
    <x v="0"/>
    <x v="0"/>
  </r>
  <r>
    <d v="2026-03-17T00:00:00"/>
    <x v="1"/>
    <s v="2026"/>
    <s v="Web"/>
    <x v="4"/>
    <s v="Chocolate - Club 2"/>
    <n v="100"/>
    <x v="0"/>
    <x v="2"/>
    <x v="1"/>
    <x v="1"/>
  </r>
  <r>
    <d v="2026-04-13T00:00:00"/>
    <x v="4"/>
    <s v="2026"/>
    <s v="Web"/>
    <x v="3"/>
    <s v="Celcom - Club 3"/>
    <n v="800"/>
    <x v="5"/>
    <x v="18"/>
    <x v="1"/>
    <x v="1"/>
  </r>
  <r>
    <d v="2026-04-09T00:00:00"/>
    <x v="4"/>
    <s v="2026"/>
    <s v="Web"/>
    <x v="5"/>
    <s v="T-Mobs - Club 1"/>
    <n v="104"/>
    <x v="0"/>
    <x v="5"/>
    <x v="2"/>
    <x v="0"/>
  </r>
  <r>
    <d v="2026-02-19T00:00:00"/>
    <x v="3"/>
    <s v="2026"/>
    <s v="Wap"/>
    <x v="9"/>
    <s v="Cykadas - Club 1"/>
    <n v="500"/>
    <x v="3"/>
    <x v="8"/>
    <x v="1"/>
    <x v="1"/>
  </r>
  <r>
    <d v="2026-01-08T00:00:00"/>
    <x v="0"/>
    <s v="2026"/>
    <s v="Web"/>
    <x v="1"/>
    <s v="Renxo - Club 2"/>
    <n v="400"/>
    <x v="1"/>
    <x v="1"/>
    <x v="1"/>
    <x v="1"/>
  </r>
  <r>
    <d v="2026-01-27T00:00:00"/>
    <x v="0"/>
    <s v="2026"/>
    <s v="Web"/>
    <x v="3"/>
    <s v="Celcom - Club 2"/>
    <n v="100"/>
    <x v="0"/>
    <x v="2"/>
    <x v="1"/>
    <x v="1"/>
  </r>
  <r>
    <d v="2026-02-11T00:00:00"/>
    <x v="3"/>
    <s v="2026"/>
    <s v="Web"/>
    <x v="16"/>
    <s v="True Caller - Club 3"/>
    <n v="408"/>
    <x v="1"/>
    <x v="4"/>
    <x v="0"/>
    <x v="0"/>
  </r>
  <r>
    <d v="2026-05-11T00:00:00"/>
    <x v="2"/>
    <s v="2026"/>
    <s v="Web"/>
    <x v="13"/>
    <s v="Zed - Club 1"/>
    <n v="111"/>
    <x v="0"/>
    <x v="43"/>
    <x v="0"/>
    <x v="0"/>
  </r>
  <r>
    <d v="2026-04-30T00:00:00"/>
    <x v="4"/>
    <s v="2026"/>
    <s v="SAT"/>
    <x v="8"/>
    <s v="KMD - Club 3"/>
    <n v="303"/>
    <x v="6"/>
    <x v="61"/>
    <x v="0"/>
    <x v="0"/>
  </r>
  <r>
    <d v="2026-02-21T00:00:00"/>
    <x v="3"/>
    <s v="2026"/>
    <s v="Otro"/>
    <x v="12"/>
    <s v="Bennu - Club 3"/>
    <n v="500"/>
    <x v="3"/>
    <x v="8"/>
    <x v="1"/>
    <x v="1"/>
  </r>
  <r>
    <d v="2026-01-03T00:00:00"/>
    <x v="0"/>
    <s v="2026"/>
    <s v="Web"/>
    <x v="12"/>
    <s v="Bennu - Club 2"/>
    <n v="205"/>
    <x v="2"/>
    <x v="34"/>
    <x v="0"/>
    <x v="0"/>
  </r>
  <r>
    <d v="2026-04-11T00:00:00"/>
    <x v="4"/>
    <s v="2026"/>
    <s v="Wap"/>
    <x v="17"/>
    <s v="Digital Virgo - Club 3"/>
    <n v="800"/>
    <x v="5"/>
    <x v="18"/>
    <x v="1"/>
    <x v="1"/>
  </r>
  <r>
    <d v="2026-03-04T00:00:00"/>
    <x v="1"/>
    <s v="2026"/>
    <s v="Otro"/>
    <x v="12"/>
    <s v="Bennu - Club 2"/>
    <n v="100"/>
    <x v="0"/>
    <x v="2"/>
    <x v="1"/>
    <x v="1"/>
  </r>
  <r>
    <d v="2026-03-31T00:00:00"/>
    <x v="1"/>
    <s v="2026"/>
    <s v="SAT"/>
    <x v="3"/>
    <s v="Celcom - Club 3"/>
    <n v="100"/>
    <x v="0"/>
    <x v="2"/>
    <x v="1"/>
    <x v="1"/>
  </r>
  <r>
    <d v="2026-03-27T00:00:00"/>
    <x v="1"/>
    <s v="2026"/>
    <s v="Web"/>
    <x v="11"/>
    <s v="AWG - Club 1"/>
    <n v="408"/>
    <x v="1"/>
    <x v="4"/>
    <x v="0"/>
    <x v="0"/>
  </r>
  <r>
    <d v="2026-02-11T00:00:00"/>
    <x v="3"/>
    <s v="2026"/>
    <s v="Web"/>
    <x v="8"/>
    <s v="KMD - Club 2"/>
    <n v="111"/>
    <x v="0"/>
    <x v="43"/>
    <x v="0"/>
    <x v="0"/>
  </r>
  <r>
    <d v="2026-01-17T00:00:00"/>
    <x v="0"/>
    <s v="2026"/>
    <s v="Wap"/>
    <x v="8"/>
    <s v="KMD - Club 2"/>
    <n v="800"/>
    <x v="5"/>
    <x v="18"/>
    <x v="1"/>
    <x v="1"/>
  </r>
  <r>
    <d v="2026-01-21T00:00:00"/>
    <x v="0"/>
    <s v="2026"/>
    <s v="Web"/>
    <x v="10"/>
    <s v="SocialAst - Club 2"/>
    <n v="700"/>
    <x v="4"/>
    <x v="14"/>
    <x v="1"/>
    <x v="1"/>
  </r>
  <r>
    <d v="2026-02-21T00:00:00"/>
    <x v="3"/>
    <s v="2026"/>
    <s v="Wap"/>
    <x v="12"/>
    <s v="Bennu - Club 1"/>
    <n v="210"/>
    <x v="2"/>
    <x v="22"/>
    <x v="0"/>
    <x v="0"/>
  </r>
  <r>
    <d v="2026-05-10T00:00:00"/>
    <x v="2"/>
    <s v="2026"/>
    <s v="Web"/>
    <x v="7"/>
    <s v="Digevo - Club 2"/>
    <n v="501"/>
    <x v="3"/>
    <x v="50"/>
    <x v="0"/>
    <x v="0"/>
  </r>
  <r>
    <d v="2026-05-09T00:00:00"/>
    <x v="2"/>
    <s v="2026"/>
    <s v="SMS"/>
    <x v="17"/>
    <s v="Digital Virgo - Club 1"/>
    <n v="300"/>
    <x v="6"/>
    <x v="20"/>
    <x v="1"/>
    <x v="1"/>
  </r>
  <r>
    <d v="2026-02-14T00:00:00"/>
    <x v="3"/>
    <s v="2026"/>
    <s v="Wap"/>
    <x v="1"/>
    <s v="Renxo - Club 2"/>
    <n v="100"/>
    <x v="0"/>
    <x v="2"/>
    <x v="1"/>
    <x v="1"/>
  </r>
  <r>
    <d v="2026-01-15T00:00:00"/>
    <x v="0"/>
    <s v="2026"/>
    <s v="Wap"/>
    <x v="3"/>
    <s v="Celcom - Club 2"/>
    <n v="502"/>
    <x v="3"/>
    <x v="27"/>
    <x v="0"/>
    <x v="0"/>
  </r>
  <r>
    <d v="2026-01-17T00:00:00"/>
    <x v="0"/>
    <s v="2026"/>
    <s v="Web"/>
    <x v="17"/>
    <s v="Digital Virgo - Club 3"/>
    <n v="300"/>
    <x v="6"/>
    <x v="20"/>
    <x v="1"/>
    <x v="1"/>
  </r>
  <r>
    <d v="2026-04-23T00:00:00"/>
    <x v="4"/>
    <s v="2026"/>
    <s v="Web"/>
    <x v="2"/>
    <s v="Opratel - Club 3"/>
    <n v="109"/>
    <x v="0"/>
    <x v="31"/>
    <x v="2"/>
    <x v="0"/>
  </r>
  <r>
    <d v="2026-03-03T00:00:00"/>
    <x v="1"/>
    <s v="2026"/>
    <s v="Web"/>
    <x v="16"/>
    <s v="True Caller - Club 1"/>
    <n v="300"/>
    <x v="6"/>
    <x v="20"/>
    <x v="1"/>
    <x v="1"/>
  </r>
  <r>
    <d v="2026-04-12T00:00:00"/>
    <x v="4"/>
    <s v="2026"/>
    <s v="Wap"/>
    <x v="6"/>
    <s v="airG - Club 3"/>
    <n v="500"/>
    <x v="3"/>
    <x v="8"/>
    <x v="1"/>
    <x v="1"/>
  </r>
  <r>
    <d v="2026-02-02T00:00:00"/>
    <x v="3"/>
    <s v="2026"/>
    <s v="Web"/>
    <x v="1"/>
    <s v="Renxo - Club 3"/>
    <n v="307"/>
    <x v="6"/>
    <x v="26"/>
    <x v="0"/>
    <x v="0"/>
  </r>
  <r>
    <d v="2026-02-11T00:00:00"/>
    <x v="3"/>
    <s v="2026"/>
    <s v="Web"/>
    <x v="2"/>
    <s v="Opratel - Club 1"/>
    <n v="200"/>
    <x v="2"/>
    <x v="6"/>
    <x v="1"/>
    <x v="1"/>
  </r>
  <r>
    <d v="2026-02-20T00:00:00"/>
    <x v="3"/>
    <s v="2026"/>
    <s v="Wap"/>
    <x v="13"/>
    <s v="Zed - Club 3"/>
    <n v="504"/>
    <x v="3"/>
    <x v="41"/>
    <x v="0"/>
    <x v="0"/>
  </r>
  <r>
    <d v="2026-03-15T00:00:00"/>
    <x v="1"/>
    <s v="2026"/>
    <s v="Wap"/>
    <x v="15"/>
    <s v="GPM - Club 2"/>
    <n v="114"/>
    <x v="0"/>
    <x v="59"/>
    <x v="0"/>
    <x v="0"/>
  </r>
  <r>
    <d v="2026-04-21T00:00:00"/>
    <x v="4"/>
    <s v="2026"/>
    <s v="SMS"/>
    <x v="12"/>
    <s v="Bennu - Club 1"/>
    <n v="208"/>
    <x v="2"/>
    <x v="24"/>
    <x v="0"/>
    <x v="0"/>
  </r>
  <r>
    <d v="2026-04-01T00:00:00"/>
    <x v="4"/>
    <s v="2026"/>
    <s v="Otro"/>
    <x v="12"/>
    <s v="Bennu - Club 1"/>
    <n v="400"/>
    <x v="1"/>
    <x v="1"/>
    <x v="1"/>
    <x v="1"/>
  </r>
  <r>
    <d v="2026-04-08T00:00:00"/>
    <x v="4"/>
    <s v="2026"/>
    <s v="Web"/>
    <x v="6"/>
    <s v="airG - Club 2"/>
    <n v="801"/>
    <x v="5"/>
    <x v="28"/>
    <x v="0"/>
    <x v="0"/>
  </r>
  <r>
    <d v="2026-02-12T00:00:00"/>
    <x v="3"/>
    <s v="2026"/>
    <s v="Wap"/>
    <x v="3"/>
    <s v="Celcom - Club 2"/>
    <n v="109"/>
    <x v="0"/>
    <x v="31"/>
    <x v="2"/>
    <x v="0"/>
  </r>
  <r>
    <d v="2026-02-17T00:00:00"/>
    <x v="3"/>
    <s v="2026"/>
    <s v="Wap"/>
    <x v="15"/>
    <s v="GPM - Club 1"/>
    <n v="107"/>
    <x v="0"/>
    <x v="11"/>
    <x v="0"/>
    <x v="0"/>
  </r>
  <r>
    <d v="2026-01-16T00:00:00"/>
    <x v="0"/>
    <s v="2026"/>
    <s v="Wap"/>
    <x v="2"/>
    <s v="Opratel - Club 3"/>
    <n v="800"/>
    <x v="5"/>
    <x v="18"/>
    <x v="1"/>
    <x v="1"/>
  </r>
  <r>
    <d v="2026-04-12T00:00:00"/>
    <x v="4"/>
    <s v="2026"/>
    <s v="Wap"/>
    <x v="1"/>
    <s v="Renxo - Club 3"/>
    <n v="400"/>
    <x v="1"/>
    <x v="1"/>
    <x v="1"/>
    <x v="1"/>
  </r>
  <r>
    <d v="2026-05-02T00:00:00"/>
    <x v="2"/>
    <s v="2026"/>
    <s v="Otro"/>
    <x v="14"/>
    <s v="FaroMobile - Club 2"/>
    <n v="404"/>
    <x v="1"/>
    <x v="24"/>
    <x v="0"/>
    <x v="0"/>
  </r>
  <r>
    <d v="2026-05-06T00:00:00"/>
    <x v="2"/>
    <s v="2026"/>
    <s v="Web"/>
    <x v="5"/>
    <s v="T-Mobs - Club 3"/>
    <n v="402"/>
    <x v="1"/>
    <x v="12"/>
    <x v="0"/>
    <x v="0"/>
  </r>
  <r>
    <d v="2026-05-06T00:00:00"/>
    <x v="2"/>
    <s v="2026"/>
    <s v="Wap"/>
    <x v="2"/>
    <s v="Opratel - Club 1"/>
    <n v="408"/>
    <x v="1"/>
    <x v="4"/>
    <x v="0"/>
    <x v="0"/>
  </r>
  <r>
    <d v="2026-05-05T00:00:00"/>
    <x v="2"/>
    <s v="2026"/>
    <s v="Web"/>
    <x v="9"/>
    <s v="Cykadas - Club 3"/>
    <n v="300"/>
    <x v="6"/>
    <x v="20"/>
    <x v="1"/>
    <x v="1"/>
  </r>
  <r>
    <d v="2026-02-06T00:00:00"/>
    <x v="3"/>
    <s v="2026"/>
    <s v="Web"/>
    <x v="13"/>
    <s v="Zed - Club 3"/>
    <n v="700"/>
    <x v="4"/>
    <x v="14"/>
    <x v="1"/>
    <x v="1"/>
  </r>
  <r>
    <d v="2026-03-20T00:00:00"/>
    <x v="1"/>
    <s v="2026"/>
    <s v="Web"/>
    <x v="0"/>
    <s v="Wasabi - Club 2"/>
    <n v="113"/>
    <x v="0"/>
    <x v="3"/>
    <x v="2"/>
    <x v="0"/>
  </r>
  <r>
    <d v="2026-04-27T00:00:00"/>
    <x v="4"/>
    <s v="2026"/>
    <s v="Web"/>
    <x v="1"/>
    <s v="Renxo - Club 3"/>
    <n v="400"/>
    <x v="1"/>
    <x v="1"/>
    <x v="1"/>
    <x v="1"/>
  </r>
  <r>
    <d v="2026-03-25T00:00:00"/>
    <x v="1"/>
    <s v="2026"/>
    <s v="Web"/>
    <x v="10"/>
    <s v="SocialAst - Club 2"/>
    <n v="304"/>
    <x v="6"/>
    <x v="49"/>
    <x v="0"/>
    <x v="0"/>
  </r>
  <r>
    <d v="2026-05-02T00:00:00"/>
    <x v="2"/>
    <s v="2026"/>
    <s v="Web"/>
    <x v="3"/>
    <s v="Celcom - Club 2"/>
    <n v="204"/>
    <x v="2"/>
    <x v="21"/>
    <x v="0"/>
    <x v="0"/>
  </r>
  <r>
    <d v="2026-02-16T00:00:00"/>
    <x v="3"/>
    <s v="2026"/>
    <s v="Otro"/>
    <x v="16"/>
    <s v="True Caller - Club 1"/>
    <n v="107"/>
    <x v="0"/>
    <x v="11"/>
    <x v="0"/>
    <x v="0"/>
  </r>
  <r>
    <d v="2026-02-05T00:00:00"/>
    <x v="3"/>
    <s v="2026"/>
    <s v="Otro"/>
    <x v="12"/>
    <s v="Bennu - Club 1"/>
    <n v="113"/>
    <x v="0"/>
    <x v="3"/>
    <x v="2"/>
    <x v="0"/>
  </r>
  <r>
    <d v="2026-02-15T00:00:00"/>
    <x v="3"/>
    <s v="2026"/>
    <s v="Web"/>
    <x v="15"/>
    <s v="GPM - Club 2"/>
    <n v="700"/>
    <x v="4"/>
    <x v="14"/>
    <x v="1"/>
    <x v="1"/>
  </r>
  <r>
    <d v="2026-03-26T00:00:00"/>
    <x v="1"/>
    <s v="2026"/>
    <s v="Otro"/>
    <x v="15"/>
    <s v="GPM - Club 3"/>
    <n v="700"/>
    <x v="4"/>
    <x v="14"/>
    <x v="1"/>
    <x v="1"/>
  </r>
  <r>
    <d v="2026-01-15T00:00:00"/>
    <x v="0"/>
    <s v="2026"/>
    <s v="Wap"/>
    <x v="9"/>
    <s v="Cykadas - Club 2"/>
    <n v="302"/>
    <x v="6"/>
    <x v="46"/>
    <x v="0"/>
    <x v="0"/>
  </r>
  <r>
    <d v="2026-03-31T00:00:00"/>
    <x v="1"/>
    <s v="2026"/>
    <s v="Wap"/>
    <x v="1"/>
    <s v="Renxo - Club 1"/>
    <n v="300"/>
    <x v="6"/>
    <x v="20"/>
    <x v="1"/>
    <x v="1"/>
  </r>
  <r>
    <d v="2026-05-08T00:00:00"/>
    <x v="2"/>
    <s v="2026"/>
    <s v="Web"/>
    <x v="5"/>
    <s v="T-Mobs - Club 2"/>
    <n v="204"/>
    <x v="2"/>
    <x v="21"/>
    <x v="0"/>
    <x v="0"/>
  </r>
  <r>
    <d v="2026-05-03T00:00:00"/>
    <x v="2"/>
    <s v="2026"/>
    <s v="Tienda"/>
    <x v="6"/>
    <s v="airG - Club 3"/>
    <n v="702"/>
    <x v="4"/>
    <x v="33"/>
    <x v="0"/>
    <x v="0"/>
  </r>
  <r>
    <d v="2026-03-28T00:00:00"/>
    <x v="1"/>
    <s v="2026"/>
    <s v="Web"/>
    <x v="0"/>
    <s v="Wasabi - Club 2"/>
    <n v="400"/>
    <x v="1"/>
    <x v="1"/>
    <x v="1"/>
    <x v="1"/>
  </r>
  <r>
    <d v="2026-03-29T00:00:00"/>
    <x v="1"/>
    <s v="2026"/>
    <s v="Web"/>
    <x v="17"/>
    <s v="Digital Virgo - Club 3"/>
    <n v="111"/>
    <x v="0"/>
    <x v="43"/>
    <x v="0"/>
    <x v="0"/>
  </r>
  <r>
    <d v="2026-05-12T00:00:00"/>
    <x v="2"/>
    <s v="2026"/>
    <s v="Wap"/>
    <x v="3"/>
    <s v="Celcom - Club 1"/>
    <n v="202"/>
    <x v="2"/>
    <x v="58"/>
    <x v="2"/>
    <x v="0"/>
  </r>
  <r>
    <d v="2026-01-29T00:00:00"/>
    <x v="0"/>
    <s v="2026"/>
    <s v="Wap"/>
    <x v="6"/>
    <s v="airG - Club 1"/>
    <n v="102"/>
    <x v="0"/>
    <x v="38"/>
    <x v="0"/>
    <x v="0"/>
  </r>
  <r>
    <d v="2026-02-08T00:00:00"/>
    <x v="3"/>
    <s v="2026"/>
    <s v="Wap"/>
    <x v="1"/>
    <s v="Renxo - Club 3"/>
    <n v="301"/>
    <x v="6"/>
    <x v="55"/>
    <x v="0"/>
    <x v="0"/>
  </r>
  <r>
    <d v="2026-02-01T00:00:00"/>
    <x v="3"/>
    <s v="2026"/>
    <s v="Web"/>
    <x v="14"/>
    <s v="FaroMobile - Club 3"/>
    <n v="306"/>
    <x v="6"/>
    <x v="56"/>
    <x v="0"/>
    <x v="0"/>
  </r>
  <r>
    <d v="2026-02-14T00:00:00"/>
    <x v="3"/>
    <s v="2026"/>
    <s v="Wap"/>
    <x v="16"/>
    <s v="True Caller - Club 3"/>
    <n v="401"/>
    <x v="1"/>
    <x v="16"/>
    <x v="0"/>
    <x v="0"/>
  </r>
  <r>
    <d v="2026-04-02T00:00:00"/>
    <x v="4"/>
    <s v="2026"/>
    <s v="Web"/>
    <x v="14"/>
    <s v="FaroMobile - Club 1"/>
    <n v="400"/>
    <x v="1"/>
    <x v="1"/>
    <x v="1"/>
    <x v="1"/>
  </r>
  <r>
    <d v="2026-04-25T00:00:00"/>
    <x v="4"/>
    <s v="2026"/>
    <s v="Wap"/>
    <x v="1"/>
    <s v="Renxo - Club 2"/>
    <n v="104"/>
    <x v="0"/>
    <x v="5"/>
    <x v="2"/>
    <x v="0"/>
  </r>
  <r>
    <d v="2026-03-05T00:00:00"/>
    <x v="1"/>
    <s v="2026"/>
    <s v="Web"/>
    <x v="16"/>
    <s v="True Caller - Club 3"/>
    <n v="100"/>
    <x v="0"/>
    <x v="2"/>
    <x v="1"/>
    <x v="1"/>
  </r>
  <r>
    <d v="2026-03-06T00:00:00"/>
    <x v="1"/>
    <s v="2026"/>
    <s v="Web"/>
    <x v="4"/>
    <s v="Chocolate - Club 2"/>
    <n v="508"/>
    <x v="3"/>
    <x v="10"/>
    <x v="0"/>
    <x v="0"/>
  </r>
  <r>
    <d v="2026-03-18T00:00:00"/>
    <x v="1"/>
    <s v="2026"/>
    <s v="Web"/>
    <x v="5"/>
    <s v="T-Mobs - Club 1"/>
    <n v="405"/>
    <x v="1"/>
    <x v="35"/>
    <x v="2"/>
    <x v="0"/>
  </r>
  <r>
    <d v="2026-03-27T00:00:00"/>
    <x v="1"/>
    <s v="2026"/>
    <s v="Wap"/>
    <x v="2"/>
    <s v="Opratel - Club 2"/>
    <n v="500"/>
    <x v="3"/>
    <x v="8"/>
    <x v="1"/>
    <x v="1"/>
  </r>
  <r>
    <d v="2026-05-11T00:00:00"/>
    <x v="2"/>
    <s v="2026"/>
    <s v="Otro"/>
    <x v="15"/>
    <s v="GPM - Club 3"/>
    <n v="110"/>
    <x v="0"/>
    <x v="36"/>
    <x v="0"/>
    <x v="0"/>
  </r>
  <r>
    <d v="2026-02-19T00:00:00"/>
    <x v="3"/>
    <s v="2026"/>
    <s v="Otro"/>
    <x v="16"/>
    <s v="True Caller - Club 3"/>
    <n v="404"/>
    <x v="1"/>
    <x v="24"/>
    <x v="0"/>
    <x v="0"/>
  </r>
  <r>
    <d v="2026-02-11T00:00:00"/>
    <x v="3"/>
    <s v="2026"/>
    <s v="SMS"/>
    <x v="17"/>
    <s v="Digital Virgo - Club 1"/>
    <n v="800"/>
    <x v="5"/>
    <x v="18"/>
    <x v="1"/>
    <x v="1"/>
  </r>
  <r>
    <d v="2026-02-05T00:00:00"/>
    <x v="3"/>
    <s v="2026"/>
    <s v="Wap"/>
    <x v="9"/>
    <s v="Cykadas - Club 3"/>
    <n v="800"/>
    <x v="5"/>
    <x v="18"/>
    <x v="1"/>
    <x v="1"/>
  </r>
  <r>
    <d v="2026-03-11T00:00:00"/>
    <x v="1"/>
    <s v="2026"/>
    <s v="Wap"/>
    <x v="15"/>
    <s v="GPM - Club 1"/>
    <n v="300"/>
    <x v="6"/>
    <x v="20"/>
    <x v="1"/>
    <x v="1"/>
  </r>
  <r>
    <d v="2026-01-02T00:00:00"/>
    <x v="0"/>
    <s v="2026"/>
    <s v="Web"/>
    <x v="15"/>
    <s v="GPM - Club 1"/>
    <n v="700"/>
    <x v="4"/>
    <x v="14"/>
    <x v="1"/>
    <x v="1"/>
  </r>
  <r>
    <d v="2026-01-18T00:00:00"/>
    <x v="0"/>
    <s v="2026"/>
    <s v="Web"/>
    <x v="7"/>
    <s v="Digevo - Club 2"/>
    <n v="301"/>
    <x v="6"/>
    <x v="55"/>
    <x v="0"/>
    <x v="0"/>
  </r>
  <r>
    <d v="2026-04-26T00:00:00"/>
    <x v="4"/>
    <s v="2026"/>
    <s v="Web"/>
    <x v="6"/>
    <s v="airG - Club 1"/>
    <n v="500"/>
    <x v="3"/>
    <x v="8"/>
    <x v="1"/>
    <x v="1"/>
  </r>
  <r>
    <d v="2026-05-01T00:00:00"/>
    <x v="2"/>
    <s v="2026"/>
    <s v="Web"/>
    <x v="16"/>
    <s v="True Caller - Club 1"/>
    <n v="209"/>
    <x v="2"/>
    <x v="39"/>
    <x v="2"/>
    <x v="0"/>
  </r>
  <r>
    <d v="2026-01-03T00:00:00"/>
    <x v="0"/>
    <s v="2026"/>
    <s v="Web"/>
    <x v="5"/>
    <s v="T-Mobs - Club 3"/>
    <n v="202"/>
    <x v="2"/>
    <x v="58"/>
    <x v="2"/>
    <x v="0"/>
  </r>
  <r>
    <d v="2026-04-14T00:00:00"/>
    <x v="4"/>
    <s v="2026"/>
    <s v="Web"/>
    <x v="4"/>
    <s v="Chocolate - Club 1"/>
    <n v="300"/>
    <x v="6"/>
    <x v="20"/>
    <x v="1"/>
    <x v="1"/>
  </r>
  <r>
    <d v="2026-01-21T00:00:00"/>
    <x v="0"/>
    <s v="2026"/>
    <s v="Tienda"/>
    <x v="3"/>
    <s v="Celcom - Club 3"/>
    <n v="400"/>
    <x v="1"/>
    <x v="1"/>
    <x v="1"/>
    <x v="1"/>
  </r>
  <r>
    <d v="2026-04-18T00:00:00"/>
    <x v="4"/>
    <s v="2026"/>
    <s v="Wap"/>
    <x v="4"/>
    <s v="Chocolate - Club 3"/>
    <n v="700"/>
    <x v="4"/>
    <x v="14"/>
    <x v="1"/>
    <x v="1"/>
  </r>
  <r>
    <d v="2026-03-18T00:00:00"/>
    <x v="1"/>
    <s v="2026"/>
    <s v="Web"/>
    <x v="10"/>
    <s v="SocialAst - Club 2"/>
    <n v="401"/>
    <x v="1"/>
    <x v="16"/>
    <x v="0"/>
    <x v="0"/>
  </r>
  <r>
    <d v="2026-01-11T00:00:00"/>
    <x v="0"/>
    <s v="2026"/>
    <s v="Wap"/>
    <x v="15"/>
    <s v="GPM - Club 2"/>
    <n v="500"/>
    <x v="3"/>
    <x v="8"/>
    <x v="1"/>
    <x v="1"/>
  </r>
  <r>
    <d v="2026-03-18T00:00:00"/>
    <x v="1"/>
    <s v="2026"/>
    <s v="Web"/>
    <x v="10"/>
    <s v="SocialAst - Club 1"/>
    <n v="500"/>
    <x v="3"/>
    <x v="8"/>
    <x v="1"/>
    <x v="1"/>
  </r>
  <r>
    <d v="2026-03-02T00:00:00"/>
    <x v="1"/>
    <s v="2026"/>
    <s v="Wap"/>
    <x v="6"/>
    <s v="airG - Club 3"/>
    <n v="700"/>
    <x v="4"/>
    <x v="14"/>
    <x v="1"/>
    <x v="1"/>
  </r>
  <r>
    <d v="2026-03-23T00:00:00"/>
    <x v="1"/>
    <s v="2026"/>
    <s v="Wap"/>
    <x v="0"/>
    <s v="Wasabi - Club 2"/>
    <n v="111"/>
    <x v="0"/>
    <x v="43"/>
    <x v="0"/>
    <x v="0"/>
  </r>
  <r>
    <d v="2026-02-07T00:00:00"/>
    <x v="3"/>
    <s v="2026"/>
    <s v="SAT"/>
    <x v="6"/>
    <s v="airG - Club 3"/>
    <n v="300"/>
    <x v="6"/>
    <x v="20"/>
    <x v="1"/>
    <x v="1"/>
  </r>
  <r>
    <d v="2026-02-19T00:00:00"/>
    <x v="3"/>
    <s v="2026"/>
    <s v="Wap"/>
    <x v="14"/>
    <s v="FaroMobile - Club 3"/>
    <n v="200"/>
    <x v="2"/>
    <x v="6"/>
    <x v="1"/>
    <x v="1"/>
  </r>
  <r>
    <d v="2026-01-25T00:00:00"/>
    <x v="0"/>
    <s v="2026"/>
    <s v="Wap"/>
    <x v="3"/>
    <s v="Celcom - Club 2"/>
    <n v="109"/>
    <x v="0"/>
    <x v="31"/>
    <x v="2"/>
    <x v="0"/>
  </r>
  <r>
    <d v="2026-02-09T00:00:00"/>
    <x v="3"/>
    <s v="2026"/>
    <s v="Wap"/>
    <x v="0"/>
    <s v="Wasabi - Club 2"/>
    <n v="102"/>
    <x v="0"/>
    <x v="38"/>
    <x v="0"/>
    <x v="0"/>
  </r>
  <r>
    <d v="2026-04-05T00:00:00"/>
    <x v="4"/>
    <s v="2026"/>
    <s v="SAT"/>
    <x v="4"/>
    <s v="Chocolate - Club 3"/>
    <n v="210"/>
    <x v="2"/>
    <x v="22"/>
    <x v="0"/>
    <x v="0"/>
  </r>
  <r>
    <d v="2026-04-21T00:00:00"/>
    <x v="4"/>
    <s v="2026"/>
    <s v="Web"/>
    <x v="15"/>
    <s v="GPM - Club 2"/>
    <n v="704"/>
    <x v="4"/>
    <x v="37"/>
    <x v="0"/>
    <x v="0"/>
  </r>
  <r>
    <d v="2026-03-31T00:00:00"/>
    <x v="1"/>
    <s v="2026"/>
    <s v="Web"/>
    <x v="1"/>
    <s v="Renxo - Club 3"/>
    <n v="108"/>
    <x v="0"/>
    <x v="53"/>
    <x v="0"/>
    <x v="0"/>
  </r>
  <r>
    <d v="2026-03-03T00:00:00"/>
    <x v="1"/>
    <s v="2026"/>
    <s v="Otro"/>
    <x v="8"/>
    <s v="KMD - Club 3"/>
    <n v="800"/>
    <x v="5"/>
    <x v="18"/>
    <x v="1"/>
    <x v="1"/>
  </r>
  <r>
    <d v="2026-04-19T00:00:00"/>
    <x v="4"/>
    <s v="2026"/>
    <s v="Wap"/>
    <x v="12"/>
    <s v="Bennu - Club 1"/>
    <n v="800"/>
    <x v="5"/>
    <x v="18"/>
    <x v="1"/>
    <x v="1"/>
  </r>
  <r>
    <d v="2026-04-06T00:00:00"/>
    <x v="4"/>
    <s v="2026"/>
    <s v="Wap"/>
    <x v="8"/>
    <s v="KMD - Club 2"/>
    <n v="210"/>
    <x v="2"/>
    <x v="22"/>
    <x v="0"/>
    <x v="0"/>
  </r>
  <r>
    <d v="2026-03-11T00:00:00"/>
    <x v="1"/>
    <s v="2026"/>
    <s v="Otro"/>
    <x v="13"/>
    <s v="Zed - Club 2"/>
    <n v="101"/>
    <x v="0"/>
    <x v="7"/>
    <x v="0"/>
    <x v="0"/>
  </r>
  <r>
    <d v="2026-01-21T00:00:00"/>
    <x v="0"/>
    <s v="2026"/>
    <s v="Web"/>
    <x v="13"/>
    <s v="Zed - Club 3"/>
    <n v="307"/>
    <x v="6"/>
    <x v="26"/>
    <x v="0"/>
    <x v="0"/>
  </r>
  <r>
    <d v="2026-03-29T00:00:00"/>
    <x v="1"/>
    <s v="2026"/>
    <s v="Wap"/>
    <x v="7"/>
    <s v="Digevo - Club 1"/>
    <n v="400"/>
    <x v="1"/>
    <x v="1"/>
    <x v="1"/>
    <x v="1"/>
  </r>
  <r>
    <d v="2026-01-05T00:00:00"/>
    <x v="0"/>
    <s v="2026"/>
    <s v="Wap"/>
    <x v="1"/>
    <s v="Renxo - Club 2"/>
    <n v="200"/>
    <x v="2"/>
    <x v="6"/>
    <x v="1"/>
    <x v="1"/>
  </r>
  <r>
    <d v="2026-02-10T00:00:00"/>
    <x v="3"/>
    <s v="2026"/>
    <s v="Wap"/>
    <x v="1"/>
    <s v="Renxo - Club 1"/>
    <n v="300"/>
    <x v="6"/>
    <x v="20"/>
    <x v="1"/>
    <x v="1"/>
  </r>
  <r>
    <d v="2026-05-13T00:00:00"/>
    <x v="2"/>
    <s v="2026"/>
    <s v="Wap"/>
    <x v="17"/>
    <s v="Digital Virgo - Club 2"/>
    <n v="300"/>
    <x v="6"/>
    <x v="20"/>
    <x v="1"/>
    <x v="1"/>
  </r>
  <r>
    <d v="2026-02-07T00:00:00"/>
    <x v="3"/>
    <s v="2026"/>
    <s v="Wap"/>
    <x v="2"/>
    <s v="Opratel - Club 1"/>
    <n v="700"/>
    <x v="4"/>
    <x v="14"/>
    <x v="1"/>
    <x v="1"/>
  </r>
  <r>
    <d v="2026-02-16T00:00:00"/>
    <x v="3"/>
    <s v="2026"/>
    <s v="SAT"/>
    <x v="9"/>
    <s v="Cykadas - Club 3"/>
    <n v="409"/>
    <x v="1"/>
    <x v="51"/>
    <x v="0"/>
    <x v="0"/>
  </r>
  <r>
    <d v="2026-01-24T00:00:00"/>
    <x v="0"/>
    <s v="2026"/>
    <s v="Otro"/>
    <x v="16"/>
    <s v="True Caller - Club 3"/>
    <n v="404"/>
    <x v="1"/>
    <x v="24"/>
    <x v="0"/>
    <x v="0"/>
  </r>
  <r>
    <d v="2026-04-08T00:00:00"/>
    <x v="4"/>
    <s v="2026"/>
    <s v="Otro"/>
    <x v="8"/>
    <s v="KMD - Club 3"/>
    <n v="111"/>
    <x v="0"/>
    <x v="43"/>
    <x v="0"/>
    <x v="0"/>
  </r>
  <r>
    <d v="2026-05-12T00:00:00"/>
    <x v="2"/>
    <s v="2026"/>
    <s v="Otro"/>
    <x v="17"/>
    <s v="Digital Virgo - Club 1"/>
    <n v="102"/>
    <x v="0"/>
    <x v="38"/>
    <x v="0"/>
    <x v="0"/>
  </r>
  <r>
    <d v="2026-04-17T00:00:00"/>
    <x v="4"/>
    <s v="2026"/>
    <s v="Wap"/>
    <x v="1"/>
    <s v="Renxo - Club 3"/>
    <n v="703"/>
    <x v="4"/>
    <x v="9"/>
    <x v="0"/>
    <x v="0"/>
  </r>
  <r>
    <d v="2026-03-10T00:00:00"/>
    <x v="1"/>
    <s v="2026"/>
    <s v="Wap"/>
    <x v="13"/>
    <s v="Zed - Club 2"/>
    <n v="500"/>
    <x v="3"/>
    <x v="8"/>
    <x v="1"/>
    <x v="1"/>
  </r>
  <r>
    <d v="2026-05-14T00:00:00"/>
    <x v="2"/>
    <s v="2026"/>
    <s v="Wap"/>
    <x v="9"/>
    <s v="Cykadas - Club 2"/>
    <n v="400"/>
    <x v="1"/>
    <x v="1"/>
    <x v="1"/>
    <x v="1"/>
  </r>
  <r>
    <d v="2026-02-03T00:00:00"/>
    <x v="3"/>
    <s v="2026"/>
    <s v="Wap"/>
    <x v="3"/>
    <s v="Celcom - Club 2"/>
    <n v="408"/>
    <x v="1"/>
    <x v="4"/>
    <x v="0"/>
    <x v="0"/>
  </r>
  <r>
    <d v="2026-01-27T00:00:00"/>
    <x v="0"/>
    <s v="2026"/>
    <s v="Wap"/>
    <x v="13"/>
    <s v="Zed - Club 2"/>
    <n v="702"/>
    <x v="4"/>
    <x v="33"/>
    <x v="0"/>
    <x v="0"/>
  </r>
  <r>
    <d v="2026-04-07T00:00:00"/>
    <x v="4"/>
    <s v="2026"/>
    <s v="Wap"/>
    <x v="8"/>
    <s v="KMD - Club 3"/>
    <n v="210"/>
    <x v="2"/>
    <x v="22"/>
    <x v="0"/>
    <x v="0"/>
  </r>
  <r>
    <d v="2026-01-05T00:00:00"/>
    <x v="0"/>
    <s v="2026"/>
    <s v="Web"/>
    <x v="6"/>
    <s v="airG - Club 3"/>
    <n v="704"/>
    <x v="4"/>
    <x v="37"/>
    <x v="0"/>
    <x v="0"/>
  </r>
  <r>
    <d v="2026-03-26T00:00:00"/>
    <x v="1"/>
    <s v="2026"/>
    <s v="Web"/>
    <x v="13"/>
    <s v="Zed - Club 2"/>
    <n v="400"/>
    <x v="1"/>
    <x v="1"/>
    <x v="1"/>
    <x v="1"/>
  </r>
  <r>
    <d v="2026-01-23T00:00:00"/>
    <x v="0"/>
    <s v="2026"/>
    <s v="Web"/>
    <x v="3"/>
    <s v="Celcom - Club 3"/>
    <n v="200"/>
    <x v="2"/>
    <x v="6"/>
    <x v="1"/>
    <x v="1"/>
  </r>
  <r>
    <d v="2026-02-27T00:00:00"/>
    <x v="3"/>
    <s v="2026"/>
    <s v="Wap"/>
    <x v="17"/>
    <s v="Digital Virgo - Club 1"/>
    <n v="111"/>
    <x v="0"/>
    <x v="43"/>
    <x v="0"/>
    <x v="0"/>
  </r>
  <r>
    <d v="2026-04-17T00:00:00"/>
    <x v="4"/>
    <s v="2026"/>
    <s v="SAT"/>
    <x v="14"/>
    <s v="FaroMobile - Club 3"/>
    <n v="700"/>
    <x v="4"/>
    <x v="14"/>
    <x v="1"/>
    <x v="1"/>
  </r>
  <r>
    <d v="2026-04-29T00:00:00"/>
    <x v="4"/>
    <s v="2026"/>
    <s v="Otro"/>
    <x v="14"/>
    <s v="FaroMobile - Club 2"/>
    <n v="300"/>
    <x v="6"/>
    <x v="20"/>
    <x v="1"/>
    <x v="1"/>
  </r>
  <r>
    <d v="2026-05-12T00:00:00"/>
    <x v="2"/>
    <s v="2026"/>
    <s v="Wap"/>
    <x v="0"/>
    <s v="Wasabi - Club 1"/>
    <n v="111"/>
    <x v="0"/>
    <x v="43"/>
    <x v="0"/>
    <x v="0"/>
  </r>
  <r>
    <d v="2026-04-27T00:00:00"/>
    <x v="4"/>
    <s v="2026"/>
    <s v="Web"/>
    <x v="1"/>
    <s v="Renxo - Club 3"/>
    <n v="300"/>
    <x v="6"/>
    <x v="20"/>
    <x v="1"/>
    <x v="1"/>
  </r>
  <r>
    <d v="2026-04-20T00:00:00"/>
    <x v="4"/>
    <s v="2026"/>
    <s v="SAT"/>
    <x v="11"/>
    <s v="AWG - Club 3"/>
    <n v="100"/>
    <x v="0"/>
    <x v="2"/>
    <x v="1"/>
    <x v="1"/>
  </r>
  <r>
    <d v="2026-03-29T00:00:00"/>
    <x v="1"/>
    <s v="2026"/>
    <s v="Wap"/>
    <x v="4"/>
    <s v="Chocolate - Club 3"/>
    <n v="505"/>
    <x v="3"/>
    <x v="23"/>
    <x v="0"/>
    <x v="0"/>
  </r>
  <r>
    <d v="2026-02-13T00:00:00"/>
    <x v="3"/>
    <s v="2026"/>
    <s v="Wap"/>
    <x v="15"/>
    <s v="GPM - Club 1"/>
    <n v="800"/>
    <x v="5"/>
    <x v="18"/>
    <x v="1"/>
    <x v="1"/>
  </r>
  <r>
    <d v="2026-01-09T00:00:00"/>
    <x v="0"/>
    <s v="2026"/>
    <s v="Web"/>
    <x v="11"/>
    <s v="AWG - Club 2"/>
    <n v="300"/>
    <x v="6"/>
    <x v="20"/>
    <x v="1"/>
    <x v="1"/>
  </r>
  <r>
    <d v="2026-01-28T00:00:00"/>
    <x v="0"/>
    <s v="2026"/>
    <s v="Web"/>
    <x v="12"/>
    <s v="Bennu - Club 3"/>
    <n v="700"/>
    <x v="4"/>
    <x v="14"/>
    <x v="1"/>
    <x v="1"/>
  </r>
  <r>
    <d v="2026-01-30T00:00:00"/>
    <x v="0"/>
    <s v="2026"/>
    <s v="SMS"/>
    <x v="16"/>
    <s v="True Caller - Club 3"/>
    <n v="105"/>
    <x v="0"/>
    <x v="54"/>
    <x v="2"/>
    <x v="0"/>
  </r>
  <r>
    <d v="2026-02-23T00:00:00"/>
    <x v="3"/>
    <s v="2026"/>
    <s v="Wap"/>
    <x v="8"/>
    <s v="KMD - Club 2"/>
    <n v="800"/>
    <x v="5"/>
    <x v="18"/>
    <x v="1"/>
    <x v="1"/>
  </r>
  <r>
    <d v="2026-01-02T00:00:00"/>
    <x v="0"/>
    <s v="2026"/>
    <s v="Wap"/>
    <x v="10"/>
    <s v="SocialAst - Club 1"/>
    <n v="505"/>
    <x v="3"/>
    <x v="23"/>
    <x v="0"/>
    <x v="0"/>
  </r>
  <r>
    <d v="2026-04-21T00:00:00"/>
    <x v="4"/>
    <s v="2026"/>
    <s v="Wap"/>
    <x v="5"/>
    <s v="T-Mobs - Club 2"/>
    <n v="403"/>
    <x v="1"/>
    <x v="19"/>
    <x v="2"/>
    <x v="0"/>
  </r>
  <r>
    <d v="2026-05-01T00:00:00"/>
    <x v="2"/>
    <s v="2026"/>
    <s v="Wap"/>
    <x v="12"/>
    <s v="Bennu - Club 1"/>
    <n v="303"/>
    <x v="6"/>
    <x v="61"/>
    <x v="0"/>
    <x v="0"/>
  </r>
  <r>
    <d v="2026-05-13T00:00:00"/>
    <x v="2"/>
    <s v="2026"/>
    <s v="Wap"/>
    <x v="7"/>
    <s v="Digevo - Club 3"/>
    <n v="300"/>
    <x v="6"/>
    <x v="20"/>
    <x v="1"/>
    <x v="1"/>
  </r>
  <r>
    <d v="2026-04-15T00:00:00"/>
    <x v="4"/>
    <s v="2026"/>
    <s v="Web"/>
    <x v="10"/>
    <s v="SocialAst - Club 2"/>
    <n v="800"/>
    <x v="5"/>
    <x v="18"/>
    <x v="1"/>
    <x v="1"/>
  </r>
  <r>
    <d v="2026-01-30T00:00:00"/>
    <x v="0"/>
    <s v="2026"/>
    <s v="Wap"/>
    <x v="11"/>
    <s v="AWG - Club 1"/>
    <n v="301"/>
    <x v="6"/>
    <x v="55"/>
    <x v="0"/>
    <x v="0"/>
  </r>
  <r>
    <d v="2026-01-12T00:00:00"/>
    <x v="0"/>
    <s v="2026"/>
    <s v="Web"/>
    <x v="15"/>
    <s v="GPM - Club 1"/>
    <n v="700"/>
    <x v="4"/>
    <x v="14"/>
    <x v="1"/>
    <x v="1"/>
  </r>
  <r>
    <d v="2026-05-14T00:00:00"/>
    <x v="2"/>
    <s v="2026"/>
    <s v="Wap"/>
    <x v="11"/>
    <s v="AWG - Club 1"/>
    <n v="100"/>
    <x v="0"/>
    <x v="2"/>
    <x v="1"/>
    <x v="1"/>
  </r>
  <r>
    <d v="2026-04-18T00:00:00"/>
    <x v="4"/>
    <s v="2026"/>
    <s v="SMS"/>
    <x v="17"/>
    <s v="Digital Virgo - Club 2"/>
    <n v="700"/>
    <x v="4"/>
    <x v="14"/>
    <x v="1"/>
    <x v="1"/>
  </r>
  <r>
    <d v="2026-01-12T00:00:00"/>
    <x v="0"/>
    <s v="2026"/>
    <s v="Web"/>
    <x v="17"/>
    <s v="Digital Virgo - Club 2"/>
    <n v="800"/>
    <x v="5"/>
    <x v="18"/>
    <x v="1"/>
    <x v="1"/>
  </r>
  <r>
    <d v="2026-04-20T00:00:00"/>
    <x v="4"/>
    <s v="2026"/>
    <s v="Wap"/>
    <x v="12"/>
    <s v="Bennu - Club 3"/>
    <n v="800"/>
    <x v="5"/>
    <x v="18"/>
    <x v="1"/>
    <x v="1"/>
  </r>
  <r>
    <d v="2026-05-08T00:00:00"/>
    <x v="2"/>
    <s v="2026"/>
    <s v="Wap"/>
    <x v="6"/>
    <s v="airG - Club 2"/>
    <n v="200"/>
    <x v="2"/>
    <x v="6"/>
    <x v="1"/>
    <x v="1"/>
  </r>
  <r>
    <d v="2026-01-17T00:00:00"/>
    <x v="0"/>
    <s v="2026"/>
    <s v="Web"/>
    <x v="7"/>
    <s v="Digevo - Club 3"/>
    <n v="500"/>
    <x v="3"/>
    <x v="8"/>
    <x v="1"/>
    <x v="1"/>
  </r>
  <r>
    <d v="2026-04-30T00:00:00"/>
    <x v="4"/>
    <s v="2026"/>
    <s v="Web"/>
    <x v="16"/>
    <s v="True Caller - Club 1"/>
    <n v="700"/>
    <x v="4"/>
    <x v="14"/>
    <x v="1"/>
    <x v="1"/>
  </r>
  <r>
    <d v="2026-05-04T00:00:00"/>
    <x v="2"/>
    <s v="2026"/>
    <s v="Wap"/>
    <x v="14"/>
    <s v="FaroMobile - Club 1"/>
    <n v="500"/>
    <x v="3"/>
    <x v="8"/>
    <x v="1"/>
    <x v="1"/>
  </r>
  <r>
    <d v="2026-02-18T00:00:00"/>
    <x v="3"/>
    <s v="2026"/>
    <s v="Otro"/>
    <x v="10"/>
    <s v="SocialAst - Club 1"/>
    <n v="100"/>
    <x v="0"/>
    <x v="2"/>
    <x v="1"/>
    <x v="1"/>
  </r>
  <r>
    <d v="2026-04-09T00:00:00"/>
    <x v="4"/>
    <s v="2026"/>
    <s v="Otro"/>
    <x v="8"/>
    <s v="KMD - Club 2"/>
    <n v="500"/>
    <x v="3"/>
    <x v="8"/>
    <x v="1"/>
    <x v="1"/>
  </r>
  <r>
    <d v="2026-04-30T00:00:00"/>
    <x v="4"/>
    <s v="2026"/>
    <s v="Otro"/>
    <x v="12"/>
    <s v="Bennu - Club 1"/>
    <n v="100"/>
    <x v="0"/>
    <x v="2"/>
    <x v="1"/>
    <x v="1"/>
  </r>
  <r>
    <d v="2026-01-12T00:00:00"/>
    <x v="0"/>
    <s v="2026"/>
    <s v="Web"/>
    <x v="9"/>
    <s v="Cykadas - Club 3"/>
    <n v="301"/>
    <x v="6"/>
    <x v="55"/>
    <x v="0"/>
    <x v="0"/>
  </r>
  <r>
    <d v="2026-02-07T00:00:00"/>
    <x v="3"/>
    <s v="2026"/>
    <s v="SMS"/>
    <x v="1"/>
    <s v="Renxo - Club 1"/>
    <n v="500"/>
    <x v="3"/>
    <x v="8"/>
    <x v="1"/>
    <x v="1"/>
  </r>
  <r>
    <d v="2026-02-27T00:00:00"/>
    <x v="3"/>
    <s v="2026"/>
    <s v="Web"/>
    <x v="9"/>
    <s v="Cykadas - Club 2"/>
    <n v="200"/>
    <x v="2"/>
    <x v="6"/>
    <x v="1"/>
    <x v="1"/>
  </r>
  <r>
    <d v="2026-05-02T00:00:00"/>
    <x v="2"/>
    <s v="2026"/>
    <s v="Wap"/>
    <x v="2"/>
    <s v="Opratel - Club 2"/>
    <n v="108"/>
    <x v="0"/>
    <x v="53"/>
    <x v="0"/>
    <x v="0"/>
  </r>
  <r>
    <d v="2026-03-29T00:00:00"/>
    <x v="1"/>
    <s v="2026"/>
    <s v="Otro"/>
    <x v="1"/>
    <s v="Renxo - Club 2"/>
    <n v="107"/>
    <x v="0"/>
    <x v="11"/>
    <x v="0"/>
    <x v="0"/>
  </r>
  <r>
    <d v="2026-03-10T00:00:00"/>
    <x v="1"/>
    <s v="2026"/>
    <s v="Wap"/>
    <x v="15"/>
    <s v="GPM - Club 1"/>
    <n v="700"/>
    <x v="4"/>
    <x v="14"/>
    <x v="1"/>
    <x v="1"/>
  </r>
  <r>
    <d v="2026-02-22T00:00:00"/>
    <x v="3"/>
    <s v="2026"/>
    <s v="Web"/>
    <x v="16"/>
    <s v="True Caller - Club 2"/>
    <n v="207"/>
    <x v="2"/>
    <x v="32"/>
    <x v="2"/>
    <x v="0"/>
  </r>
  <r>
    <d v="2026-02-15T00:00:00"/>
    <x v="3"/>
    <s v="2026"/>
    <s v="Otro"/>
    <x v="5"/>
    <s v="T-Mobs - Club 1"/>
    <n v="500"/>
    <x v="3"/>
    <x v="8"/>
    <x v="1"/>
    <x v="1"/>
  </r>
  <r>
    <d v="2026-01-17T00:00:00"/>
    <x v="0"/>
    <s v="2026"/>
    <s v="Web"/>
    <x v="9"/>
    <s v="Cykadas - Club 3"/>
    <n v="506"/>
    <x v="3"/>
    <x v="17"/>
    <x v="0"/>
    <x v="0"/>
  </r>
  <r>
    <d v="2026-04-09T00:00:00"/>
    <x v="4"/>
    <s v="2026"/>
    <s v="Web"/>
    <x v="2"/>
    <s v="Opratel - Club 3"/>
    <n v="403"/>
    <x v="1"/>
    <x v="19"/>
    <x v="2"/>
    <x v="0"/>
  </r>
  <r>
    <d v="2026-01-15T00:00:00"/>
    <x v="0"/>
    <s v="2026"/>
    <s v="Wap"/>
    <x v="1"/>
    <s v="Renxo - Club 2"/>
    <n v="802"/>
    <x v="5"/>
    <x v="25"/>
    <x v="0"/>
    <x v="0"/>
  </r>
  <r>
    <d v="2026-03-06T00:00:00"/>
    <x v="1"/>
    <s v="2026"/>
    <s v="Web"/>
    <x v="4"/>
    <s v="Chocolate - Club 2"/>
    <n v="408"/>
    <x v="1"/>
    <x v="4"/>
    <x v="0"/>
    <x v="0"/>
  </r>
  <r>
    <d v="2026-03-20T00:00:00"/>
    <x v="1"/>
    <s v="2026"/>
    <s v="Wap"/>
    <x v="11"/>
    <s v="AWG - Club 3"/>
    <n v="500"/>
    <x v="3"/>
    <x v="8"/>
    <x v="1"/>
    <x v="1"/>
  </r>
  <r>
    <d v="2026-03-23T00:00:00"/>
    <x v="1"/>
    <s v="2026"/>
    <s v="Otro"/>
    <x v="6"/>
    <s v="airG - Club 1"/>
    <n v="500"/>
    <x v="3"/>
    <x v="8"/>
    <x v="1"/>
    <x v="1"/>
  </r>
  <r>
    <d v="2026-01-17T00:00:00"/>
    <x v="0"/>
    <s v="2026"/>
    <s v="Otro"/>
    <x v="11"/>
    <s v="AWG - Club 1"/>
    <n v="700"/>
    <x v="4"/>
    <x v="14"/>
    <x v="1"/>
    <x v="1"/>
  </r>
  <r>
    <d v="2026-01-05T00:00:00"/>
    <x v="0"/>
    <s v="2026"/>
    <s v="Wap"/>
    <x v="2"/>
    <s v="Opratel - Club 1"/>
    <n v="104"/>
    <x v="0"/>
    <x v="5"/>
    <x v="2"/>
    <x v="0"/>
  </r>
  <r>
    <d v="2026-03-06T00:00:00"/>
    <x v="1"/>
    <s v="2026"/>
    <s v="Web"/>
    <x v="4"/>
    <s v="Chocolate - Club 2"/>
    <n v="700"/>
    <x v="4"/>
    <x v="14"/>
    <x v="1"/>
    <x v="1"/>
  </r>
  <r>
    <d v="2026-03-24T00:00:00"/>
    <x v="1"/>
    <s v="2026"/>
    <s v="Web"/>
    <x v="7"/>
    <s v="Digevo - Club 3"/>
    <n v="303"/>
    <x v="6"/>
    <x v="61"/>
    <x v="0"/>
    <x v="0"/>
  </r>
  <r>
    <d v="2026-02-11T00:00:00"/>
    <x v="3"/>
    <s v="2026"/>
    <s v="SMS"/>
    <x v="11"/>
    <s v="AWG - Club 2"/>
    <n v="406"/>
    <x v="1"/>
    <x v="15"/>
    <x v="0"/>
    <x v="0"/>
  </r>
  <r>
    <d v="2026-01-05T00:00:00"/>
    <x v="0"/>
    <s v="2026"/>
    <s v="SAT"/>
    <x v="2"/>
    <s v="Opratel - Club 3"/>
    <n v="407"/>
    <x v="1"/>
    <x v="47"/>
    <x v="0"/>
    <x v="0"/>
  </r>
  <r>
    <d v="2026-04-01T00:00:00"/>
    <x v="4"/>
    <s v="2026"/>
    <s v="Otro"/>
    <x v="14"/>
    <s v="FaroMobile - Club 3"/>
    <n v="100"/>
    <x v="0"/>
    <x v="2"/>
    <x v="1"/>
    <x v="1"/>
  </r>
  <r>
    <d v="2026-04-29T00:00:00"/>
    <x v="4"/>
    <s v="2026"/>
    <s v="Wap"/>
    <x v="9"/>
    <s v="Cykadas - Club 1"/>
    <n v="500"/>
    <x v="3"/>
    <x v="8"/>
    <x v="1"/>
    <x v="1"/>
  </r>
  <r>
    <d v="2026-01-22T00:00:00"/>
    <x v="0"/>
    <s v="2026"/>
    <s v="Wap"/>
    <x v="3"/>
    <s v="Celcom - Club 2"/>
    <n v="802"/>
    <x v="5"/>
    <x v="25"/>
    <x v="0"/>
    <x v="0"/>
  </r>
  <r>
    <d v="2026-03-14T00:00:00"/>
    <x v="1"/>
    <s v="2026"/>
    <s v="Otro"/>
    <x v="5"/>
    <s v="T-Mobs - Club 3"/>
    <n v="507"/>
    <x v="3"/>
    <x v="13"/>
    <x v="0"/>
    <x v="0"/>
  </r>
  <r>
    <d v="2026-04-22T00:00:00"/>
    <x v="4"/>
    <s v="2026"/>
    <s v="Wap"/>
    <x v="5"/>
    <s v="T-Mobs - Club 1"/>
    <n v="801"/>
    <x v="5"/>
    <x v="28"/>
    <x v="0"/>
    <x v="0"/>
  </r>
  <r>
    <d v="2026-02-28T00:00:00"/>
    <x v="3"/>
    <s v="2026"/>
    <s v="Web"/>
    <x v="15"/>
    <s v="GPM - Club 2"/>
    <n v="403"/>
    <x v="1"/>
    <x v="19"/>
    <x v="2"/>
    <x v="0"/>
  </r>
  <r>
    <d v="2026-04-26T00:00:00"/>
    <x v="4"/>
    <s v="2026"/>
    <s v="Wap"/>
    <x v="17"/>
    <s v="Digital Virgo - Club 3"/>
    <n v="208"/>
    <x v="2"/>
    <x v="24"/>
    <x v="0"/>
    <x v="0"/>
  </r>
  <r>
    <d v="2026-04-16T00:00:00"/>
    <x v="4"/>
    <s v="2026"/>
    <s v="Web"/>
    <x v="15"/>
    <s v="GPM - Club 1"/>
    <n v="800"/>
    <x v="5"/>
    <x v="18"/>
    <x v="1"/>
    <x v="1"/>
  </r>
  <r>
    <d v="2026-02-06T00:00:00"/>
    <x v="3"/>
    <s v="2026"/>
    <s v="Web"/>
    <x v="15"/>
    <s v="GPM - Club 2"/>
    <n v="500"/>
    <x v="3"/>
    <x v="8"/>
    <x v="1"/>
    <x v="1"/>
  </r>
  <r>
    <d v="2026-02-25T00:00:00"/>
    <x v="3"/>
    <s v="2026"/>
    <s v="Wap"/>
    <x v="0"/>
    <s v="Wasabi - Club 1"/>
    <n v="103"/>
    <x v="0"/>
    <x v="40"/>
    <x v="0"/>
    <x v="0"/>
  </r>
  <r>
    <d v="2026-01-20T00:00:00"/>
    <x v="0"/>
    <s v="2026"/>
    <s v="Web"/>
    <x v="11"/>
    <s v="AWG - Club 3"/>
    <n v="113"/>
    <x v="0"/>
    <x v="3"/>
    <x v="2"/>
    <x v="0"/>
  </r>
  <r>
    <d v="2026-02-06T00:00:00"/>
    <x v="3"/>
    <s v="2026"/>
    <s v="Wap"/>
    <x v="2"/>
    <s v="Opratel - Club 2"/>
    <n v="402"/>
    <x v="1"/>
    <x v="12"/>
    <x v="0"/>
    <x v="0"/>
  </r>
  <r>
    <d v="2026-05-12T00:00:00"/>
    <x v="2"/>
    <s v="2026"/>
    <s v="Web"/>
    <x v="8"/>
    <s v="KMD - Club 1"/>
    <n v="406"/>
    <x v="1"/>
    <x v="15"/>
    <x v="0"/>
    <x v="0"/>
  </r>
  <r>
    <d v="2026-02-16T00:00:00"/>
    <x v="3"/>
    <s v="2026"/>
    <s v="Otro"/>
    <x v="7"/>
    <s v="Digevo - Club 1"/>
    <n v="300"/>
    <x v="6"/>
    <x v="20"/>
    <x v="1"/>
    <x v="1"/>
  </r>
  <r>
    <d v="2026-04-06T00:00:00"/>
    <x v="4"/>
    <s v="2026"/>
    <s v="Web"/>
    <x v="11"/>
    <s v="AWG - Club 2"/>
    <n v="108"/>
    <x v="0"/>
    <x v="53"/>
    <x v="0"/>
    <x v="0"/>
  </r>
  <r>
    <d v="2026-04-29T00:00:00"/>
    <x v="4"/>
    <s v="2026"/>
    <s v="SMS"/>
    <x v="14"/>
    <s v="FaroMobile - Club 1"/>
    <n v="306"/>
    <x v="6"/>
    <x v="56"/>
    <x v="0"/>
    <x v="0"/>
  </r>
  <r>
    <d v="2026-03-16T00:00:00"/>
    <x v="1"/>
    <s v="2026"/>
    <s v="Web"/>
    <x v="10"/>
    <s v="SocialAst - Club 1"/>
    <n v="403"/>
    <x v="1"/>
    <x v="19"/>
    <x v="2"/>
    <x v="0"/>
  </r>
  <r>
    <d v="2026-01-17T00:00:00"/>
    <x v="0"/>
    <s v="2026"/>
    <s v="Web"/>
    <x v="4"/>
    <s v="Chocolate - Club 1"/>
    <n v="110"/>
    <x v="0"/>
    <x v="36"/>
    <x v="0"/>
    <x v="0"/>
  </r>
  <r>
    <d v="2026-04-09T00:00:00"/>
    <x v="4"/>
    <s v="2026"/>
    <s v="Otro"/>
    <x v="8"/>
    <s v="KMD - Club 3"/>
    <n v="700"/>
    <x v="4"/>
    <x v="14"/>
    <x v="1"/>
    <x v="1"/>
  </r>
  <r>
    <d v="2026-02-05T00:00:00"/>
    <x v="3"/>
    <s v="2026"/>
    <s v="Web"/>
    <x v="16"/>
    <s v="True Caller - Club 1"/>
    <n v="201"/>
    <x v="2"/>
    <x v="30"/>
    <x v="0"/>
    <x v="0"/>
  </r>
  <r>
    <d v="2026-04-04T00:00:00"/>
    <x v="4"/>
    <s v="2026"/>
    <s v="Wap"/>
    <x v="0"/>
    <s v="Wasabi - Club 2"/>
    <n v="200"/>
    <x v="2"/>
    <x v="6"/>
    <x v="1"/>
    <x v="1"/>
  </r>
  <r>
    <d v="2026-02-06T00:00:00"/>
    <x v="3"/>
    <s v="2026"/>
    <s v="Sim"/>
    <x v="13"/>
    <s v="Zed - Club 1"/>
    <n v="408"/>
    <x v="1"/>
    <x v="4"/>
    <x v="0"/>
    <x v="0"/>
  </r>
  <r>
    <d v="2026-05-04T00:00:00"/>
    <x v="2"/>
    <s v="2026"/>
    <s v="Web"/>
    <x v="11"/>
    <s v="AWG - Club 3"/>
    <n v="200"/>
    <x v="2"/>
    <x v="6"/>
    <x v="1"/>
    <x v="1"/>
  </r>
  <r>
    <d v="2026-04-07T00:00:00"/>
    <x v="4"/>
    <s v="2026"/>
    <s v="Web"/>
    <x v="5"/>
    <s v="T-Mobs - Club 1"/>
    <n v="400"/>
    <x v="1"/>
    <x v="1"/>
    <x v="1"/>
    <x v="1"/>
  </r>
  <r>
    <d v="2026-01-10T00:00:00"/>
    <x v="0"/>
    <s v="2026"/>
    <s v="Web"/>
    <x v="16"/>
    <s v="True Caller - Club 2"/>
    <n v="103"/>
    <x v="0"/>
    <x v="40"/>
    <x v="0"/>
    <x v="0"/>
  </r>
  <r>
    <d v="2026-04-09T00:00:00"/>
    <x v="4"/>
    <s v="2026"/>
    <s v="Wap"/>
    <x v="15"/>
    <s v="GPM - Club 2"/>
    <n v="504"/>
    <x v="3"/>
    <x v="41"/>
    <x v="0"/>
    <x v="0"/>
  </r>
  <r>
    <d v="2026-01-19T00:00:00"/>
    <x v="0"/>
    <s v="2026"/>
    <s v="Web"/>
    <x v="15"/>
    <s v="GPM - Club 2"/>
    <n v="700"/>
    <x v="4"/>
    <x v="14"/>
    <x v="1"/>
    <x v="1"/>
  </r>
  <r>
    <d v="2026-02-02T00:00:00"/>
    <x v="3"/>
    <s v="2026"/>
    <s v="Otro"/>
    <x v="9"/>
    <s v="Cykadas - Club 2"/>
    <n v="307"/>
    <x v="6"/>
    <x v="26"/>
    <x v="0"/>
    <x v="0"/>
  </r>
  <r>
    <d v="2026-03-28T00:00:00"/>
    <x v="1"/>
    <s v="2026"/>
    <s v="Web"/>
    <x v="11"/>
    <s v="AWG - Club 2"/>
    <n v="505"/>
    <x v="3"/>
    <x v="23"/>
    <x v="0"/>
    <x v="0"/>
  </r>
  <r>
    <d v="2026-01-12T00:00:00"/>
    <x v="0"/>
    <s v="2026"/>
    <s v="Wap"/>
    <x v="5"/>
    <s v="T-Mobs - Club 1"/>
    <n v="110"/>
    <x v="0"/>
    <x v="36"/>
    <x v="0"/>
    <x v="0"/>
  </r>
  <r>
    <d v="2026-01-16T00:00:00"/>
    <x v="0"/>
    <s v="2026"/>
    <s v="Web"/>
    <x v="5"/>
    <s v="T-Mobs - Club 1"/>
    <n v="207"/>
    <x v="2"/>
    <x v="32"/>
    <x v="2"/>
    <x v="0"/>
  </r>
  <r>
    <d v="2026-03-11T00:00:00"/>
    <x v="1"/>
    <s v="2026"/>
    <s v="Wap"/>
    <x v="14"/>
    <s v="FaroMobile - Club 2"/>
    <n v="409"/>
    <x v="1"/>
    <x v="51"/>
    <x v="0"/>
    <x v="0"/>
  </r>
  <r>
    <d v="2026-04-16T00:00:00"/>
    <x v="4"/>
    <s v="2026"/>
    <s v="Web"/>
    <x v="2"/>
    <s v="Opratel - Club 1"/>
    <n v="208"/>
    <x v="2"/>
    <x v="24"/>
    <x v="0"/>
    <x v="0"/>
  </r>
  <r>
    <d v="2026-05-12T00:00:00"/>
    <x v="2"/>
    <s v="2026"/>
    <s v="Wap"/>
    <x v="16"/>
    <s v="True Caller - Club 2"/>
    <n v="702"/>
    <x v="4"/>
    <x v="33"/>
    <x v="0"/>
    <x v="0"/>
  </r>
  <r>
    <d v="2026-01-19T00:00:00"/>
    <x v="0"/>
    <s v="2026"/>
    <s v="Web"/>
    <x v="5"/>
    <s v="T-Mobs - Club 1"/>
    <n v="703"/>
    <x v="4"/>
    <x v="9"/>
    <x v="0"/>
    <x v="0"/>
  </r>
  <r>
    <d v="2026-05-14T00:00:00"/>
    <x v="2"/>
    <s v="2026"/>
    <s v="Wap"/>
    <x v="12"/>
    <s v="Bennu - Club 1"/>
    <n v="500"/>
    <x v="3"/>
    <x v="8"/>
    <x v="1"/>
    <x v="1"/>
  </r>
  <r>
    <d v="2026-05-03T00:00:00"/>
    <x v="2"/>
    <s v="2026"/>
    <s v="Wap"/>
    <x v="3"/>
    <s v="Celcom - Club 1"/>
    <n v="500"/>
    <x v="3"/>
    <x v="8"/>
    <x v="1"/>
    <x v="1"/>
  </r>
  <r>
    <d v="2026-03-22T00:00:00"/>
    <x v="1"/>
    <s v="2026"/>
    <s v="Web"/>
    <x v="4"/>
    <s v="Chocolate - Club 1"/>
    <n v="404"/>
    <x v="1"/>
    <x v="24"/>
    <x v="0"/>
    <x v="0"/>
  </r>
  <r>
    <d v="2026-01-11T00:00:00"/>
    <x v="0"/>
    <s v="2026"/>
    <s v="Sim"/>
    <x v="17"/>
    <s v="Digital Virgo - Club 1"/>
    <n v="500"/>
    <x v="3"/>
    <x v="8"/>
    <x v="1"/>
    <x v="1"/>
  </r>
  <r>
    <d v="2026-03-10T00:00:00"/>
    <x v="1"/>
    <s v="2026"/>
    <s v="SMS"/>
    <x v="1"/>
    <s v="Renxo - Club 3"/>
    <n v="204"/>
    <x v="2"/>
    <x v="21"/>
    <x v="0"/>
    <x v="0"/>
  </r>
  <r>
    <d v="2026-05-15T00:00:00"/>
    <x v="2"/>
    <s v="2026"/>
    <s v="Otro"/>
    <x v="3"/>
    <s v="Celcom - Club 3"/>
    <n v="800"/>
    <x v="5"/>
    <x v="18"/>
    <x v="1"/>
    <x v="1"/>
  </r>
  <r>
    <d v="2026-03-22T00:00:00"/>
    <x v="1"/>
    <s v="2026"/>
    <s v="Wap"/>
    <x v="14"/>
    <s v="FaroMobile - Club 2"/>
    <n v="304"/>
    <x v="6"/>
    <x v="49"/>
    <x v="0"/>
    <x v="0"/>
  </r>
  <r>
    <d v="2026-02-21T00:00:00"/>
    <x v="3"/>
    <s v="2026"/>
    <s v="Wap"/>
    <x v="15"/>
    <s v="GPM - Club 1"/>
    <n v="300"/>
    <x v="6"/>
    <x v="20"/>
    <x v="1"/>
    <x v="1"/>
  </r>
  <r>
    <d v="2026-05-02T00:00:00"/>
    <x v="2"/>
    <s v="2026"/>
    <s v="Web"/>
    <x v="2"/>
    <s v="Opratel - Club 1"/>
    <n v="800"/>
    <x v="5"/>
    <x v="18"/>
    <x v="1"/>
    <x v="1"/>
  </r>
  <r>
    <d v="2026-01-04T00:00:00"/>
    <x v="0"/>
    <s v="2026"/>
    <s v="Wap"/>
    <x v="14"/>
    <s v="FaroMobile - Club 3"/>
    <n v="200"/>
    <x v="2"/>
    <x v="6"/>
    <x v="1"/>
    <x v="1"/>
  </r>
  <r>
    <d v="2026-04-02T00:00:00"/>
    <x v="4"/>
    <s v="2026"/>
    <s v="Wap"/>
    <x v="4"/>
    <s v="Chocolate - Club 3"/>
    <n v="701"/>
    <x v="4"/>
    <x v="52"/>
    <x v="0"/>
    <x v="0"/>
  </r>
  <r>
    <d v="2026-04-12T00:00:00"/>
    <x v="4"/>
    <s v="2026"/>
    <s v="Web"/>
    <x v="1"/>
    <s v="Renxo - Club 3"/>
    <n v="302"/>
    <x v="6"/>
    <x v="46"/>
    <x v="0"/>
    <x v="0"/>
  </r>
  <r>
    <d v="2026-03-25T00:00:00"/>
    <x v="1"/>
    <s v="2026"/>
    <s v="Wap"/>
    <x v="8"/>
    <s v="KMD - Club 1"/>
    <n v="101"/>
    <x v="0"/>
    <x v="7"/>
    <x v="0"/>
    <x v="0"/>
  </r>
  <r>
    <d v="2026-04-02T00:00:00"/>
    <x v="4"/>
    <s v="2026"/>
    <s v="Web"/>
    <x v="9"/>
    <s v="Cykadas - Club 3"/>
    <n v="300"/>
    <x v="6"/>
    <x v="20"/>
    <x v="1"/>
    <x v="1"/>
  </r>
  <r>
    <d v="2026-04-23T00:00:00"/>
    <x v="4"/>
    <s v="2026"/>
    <s v="Web"/>
    <x v="9"/>
    <s v="Cykadas - Club 2"/>
    <n v="800"/>
    <x v="5"/>
    <x v="18"/>
    <x v="1"/>
    <x v="1"/>
  </r>
  <r>
    <d v="2026-03-01T00:00:00"/>
    <x v="1"/>
    <s v="2026"/>
    <s v="Wap"/>
    <x v="5"/>
    <s v="T-Mobs - Club 3"/>
    <n v="500"/>
    <x v="3"/>
    <x v="8"/>
    <x v="1"/>
    <x v="1"/>
  </r>
  <r>
    <d v="2026-05-02T00:00:00"/>
    <x v="2"/>
    <s v="2026"/>
    <s v="Web"/>
    <x v="6"/>
    <s v="airG - Club 2"/>
    <n v="704"/>
    <x v="4"/>
    <x v="37"/>
    <x v="0"/>
    <x v="0"/>
  </r>
  <r>
    <d v="2026-01-09T00:00:00"/>
    <x v="0"/>
    <s v="2026"/>
    <s v="Web"/>
    <x v="12"/>
    <s v="Bennu - Club 1"/>
    <n v="100"/>
    <x v="0"/>
    <x v="2"/>
    <x v="1"/>
    <x v="1"/>
  </r>
  <r>
    <d v="2026-03-29T00:00:00"/>
    <x v="1"/>
    <s v="2026"/>
    <s v="Web"/>
    <x v="6"/>
    <s v="airG - Club 3"/>
    <n v="200"/>
    <x v="2"/>
    <x v="6"/>
    <x v="1"/>
    <x v="1"/>
  </r>
  <r>
    <d v="2026-01-23T00:00:00"/>
    <x v="0"/>
    <s v="2026"/>
    <s v="Web"/>
    <x v="10"/>
    <s v="SocialAst - Club 1"/>
    <n v="505"/>
    <x v="3"/>
    <x v="23"/>
    <x v="0"/>
    <x v="0"/>
  </r>
  <r>
    <d v="2026-03-20T00:00:00"/>
    <x v="1"/>
    <s v="2026"/>
    <s v="Web"/>
    <x v="13"/>
    <s v="Zed - Club 1"/>
    <n v="304"/>
    <x v="6"/>
    <x v="49"/>
    <x v="0"/>
    <x v="0"/>
  </r>
  <r>
    <d v="2026-04-10T00:00:00"/>
    <x v="4"/>
    <s v="2026"/>
    <s v="Web"/>
    <x v="14"/>
    <s v="FaroMobile - Club 1"/>
    <n v="100"/>
    <x v="0"/>
    <x v="2"/>
    <x v="1"/>
    <x v="1"/>
  </r>
  <r>
    <d v="2026-04-16T00:00:00"/>
    <x v="4"/>
    <s v="2026"/>
    <s v="Wap"/>
    <x v="17"/>
    <s v="Digital Virgo - Club 2"/>
    <n v="200"/>
    <x v="2"/>
    <x v="6"/>
    <x v="1"/>
    <x v="1"/>
  </r>
  <r>
    <d v="2026-01-29T00:00:00"/>
    <x v="0"/>
    <s v="2026"/>
    <s v="Web"/>
    <x v="5"/>
    <s v="T-Mobs - Club 2"/>
    <n v="500"/>
    <x v="3"/>
    <x v="8"/>
    <x v="1"/>
    <x v="1"/>
  </r>
  <r>
    <d v="2026-01-19T00:00:00"/>
    <x v="0"/>
    <s v="2026"/>
    <s v="Web"/>
    <x v="8"/>
    <s v="KMD - Club 3"/>
    <n v="404"/>
    <x v="1"/>
    <x v="24"/>
    <x v="0"/>
    <x v="0"/>
  </r>
  <r>
    <d v="2026-02-25T00:00:00"/>
    <x v="3"/>
    <s v="2026"/>
    <s v="Web"/>
    <x v="0"/>
    <s v="Wasabi - Club 3"/>
    <n v="209"/>
    <x v="2"/>
    <x v="39"/>
    <x v="2"/>
    <x v="0"/>
  </r>
  <r>
    <d v="2026-03-29T00:00:00"/>
    <x v="1"/>
    <s v="2026"/>
    <s v="Wap"/>
    <x v="10"/>
    <s v="SocialAst - Club 2"/>
    <n v="700"/>
    <x v="4"/>
    <x v="14"/>
    <x v="1"/>
    <x v="1"/>
  </r>
  <r>
    <d v="2026-01-07T00:00:00"/>
    <x v="0"/>
    <s v="2026"/>
    <s v="Otro"/>
    <x v="8"/>
    <s v="KMD - Club 1"/>
    <n v="700"/>
    <x v="4"/>
    <x v="14"/>
    <x v="1"/>
    <x v="1"/>
  </r>
  <r>
    <d v="2026-04-19T00:00:00"/>
    <x v="4"/>
    <s v="2026"/>
    <s v="Wap"/>
    <x v="16"/>
    <s v="True Caller - Club 3"/>
    <n v="107"/>
    <x v="0"/>
    <x v="11"/>
    <x v="0"/>
    <x v="0"/>
  </r>
  <r>
    <d v="2026-03-27T00:00:00"/>
    <x v="1"/>
    <s v="2026"/>
    <s v="Web"/>
    <x v="1"/>
    <s v="Renxo - Club 1"/>
    <n v="300"/>
    <x v="6"/>
    <x v="20"/>
    <x v="1"/>
    <x v="1"/>
  </r>
  <r>
    <d v="2026-02-14T00:00:00"/>
    <x v="3"/>
    <s v="2026"/>
    <s v="Web"/>
    <x v="5"/>
    <s v="T-Mobs - Club 2"/>
    <n v="402"/>
    <x v="1"/>
    <x v="12"/>
    <x v="0"/>
    <x v="0"/>
  </r>
  <r>
    <d v="2026-02-19T00:00:00"/>
    <x v="3"/>
    <s v="2026"/>
    <s v="Wap"/>
    <x v="7"/>
    <s v="Digevo - Club 1"/>
    <n v="100"/>
    <x v="0"/>
    <x v="2"/>
    <x v="1"/>
    <x v="1"/>
  </r>
  <r>
    <d v="2026-02-19T00:00:00"/>
    <x v="3"/>
    <s v="2026"/>
    <s v="Wap"/>
    <x v="2"/>
    <s v="Opratel - Club 1"/>
    <n v="406"/>
    <x v="1"/>
    <x v="15"/>
    <x v="0"/>
    <x v="0"/>
  </r>
  <r>
    <d v="2026-03-24T00:00:00"/>
    <x v="1"/>
    <s v="2026"/>
    <s v="Wap"/>
    <x v="11"/>
    <s v="AWG - Club 2"/>
    <n v="502"/>
    <x v="3"/>
    <x v="27"/>
    <x v="0"/>
    <x v="0"/>
  </r>
  <r>
    <d v="2026-02-22T00:00:00"/>
    <x v="3"/>
    <s v="2026"/>
    <s v="Otro"/>
    <x v="9"/>
    <s v="Cykadas - Club 2"/>
    <n v="208"/>
    <x v="2"/>
    <x v="24"/>
    <x v="0"/>
    <x v="0"/>
  </r>
  <r>
    <d v="2026-02-02T00:00:00"/>
    <x v="3"/>
    <s v="2026"/>
    <s v="Wap"/>
    <x v="12"/>
    <s v="Bennu - Club 3"/>
    <n v="408"/>
    <x v="1"/>
    <x v="4"/>
    <x v="0"/>
    <x v="0"/>
  </r>
  <r>
    <d v="2026-02-27T00:00:00"/>
    <x v="3"/>
    <s v="2026"/>
    <s v="Web"/>
    <x v="17"/>
    <s v="Digital Virgo - Club 1"/>
    <n v="700"/>
    <x v="4"/>
    <x v="14"/>
    <x v="1"/>
    <x v="1"/>
  </r>
  <r>
    <d v="2026-05-15T00:00:00"/>
    <x v="2"/>
    <s v="2026"/>
    <s v="Web"/>
    <x v="5"/>
    <s v="T-Mobs - Club 1"/>
    <n v="100"/>
    <x v="0"/>
    <x v="2"/>
    <x v="1"/>
    <x v="1"/>
  </r>
  <r>
    <d v="2026-04-30T00:00:00"/>
    <x v="4"/>
    <s v="2026"/>
    <s v="Web"/>
    <x v="4"/>
    <s v="Chocolate - Club 3"/>
    <n v="103"/>
    <x v="0"/>
    <x v="40"/>
    <x v="0"/>
    <x v="0"/>
  </r>
  <r>
    <d v="2026-01-05T00:00:00"/>
    <x v="0"/>
    <s v="2026"/>
    <s v="Wap"/>
    <x v="6"/>
    <s v="airG - Club 1"/>
    <n v="506"/>
    <x v="3"/>
    <x v="17"/>
    <x v="0"/>
    <x v="0"/>
  </r>
  <r>
    <d v="2026-01-17T00:00:00"/>
    <x v="0"/>
    <s v="2026"/>
    <s v="Tienda"/>
    <x v="5"/>
    <s v="T-Mobs - Club 1"/>
    <n v="200"/>
    <x v="2"/>
    <x v="6"/>
    <x v="1"/>
    <x v="1"/>
  </r>
  <r>
    <d v="2026-02-21T00:00:00"/>
    <x v="3"/>
    <s v="2026"/>
    <s v="Web"/>
    <x v="8"/>
    <s v="KMD - Club 3"/>
    <n v="300"/>
    <x v="6"/>
    <x v="20"/>
    <x v="1"/>
    <x v="1"/>
  </r>
  <r>
    <d v="2026-04-14T00:00:00"/>
    <x v="4"/>
    <s v="2026"/>
    <s v="Wap"/>
    <x v="15"/>
    <s v="GPM - Club 3"/>
    <n v="502"/>
    <x v="3"/>
    <x v="27"/>
    <x v="0"/>
    <x v="0"/>
  </r>
  <r>
    <d v="2026-03-29T00:00:00"/>
    <x v="1"/>
    <s v="2026"/>
    <s v="Wap"/>
    <x v="5"/>
    <s v="T-Mobs - Club 2"/>
    <n v="100"/>
    <x v="0"/>
    <x v="2"/>
    <x v="1"/>
    <x v="1"/>
  </r>
  <r>
    <d v="2026-01-16T00:00:00"/>
    <x v="0"/>
    <s v="2026"/>
    <s v="Wap"/>
    <x v="16"/>
    <s v="True Caller - Club 2"/>
    <n v="300"/>
    <x v="6"/>
    <x v="20"/>
    <x v="1"/>
    <x v="1"/>
  </r>
  <r>
    <d v="2026-01-12T00:00:00"/>
    <x v="0"/>
    <s v="2026"/>
    <s v="Sim"/>
    <x v="17"/>
    <s v="Digital Virgo - Club 1"/>
    <n v="300"/>
    <x v="6"/>
    <x v="20"/>
    <x v="1"/>
    <x v="1"/>
  </r>
  <r>
    <d v="2026-03-12T00:00:00"/>
    <x v="1"/>
    <s v="2026"/>
    <s v="Wap"/>
    <x v="7"/>
    <s v="Digevo - Club 2"/>
    <n v="100"/>
    <x v="0"/>
    <x v="2"/>
    <x v="1"/>
    <x v="1"/>
  </r>
  <r>
    <d v="2026-04-15T00:00:00"/>
    <x v="4"/>
    <s v="2026"/>
    <s v="Wap"/>
    <x v="3"/>
    <s v="Celcom - Club 3"/>
    <n v="702"/>
    <x v="4"/>
    <x v="33"/>
    <x v="0"/>
    <x v="0"/>
  </r>
  <r>
    <d v="2026-03-22T00:00:00"/>
    <x v="1"/>
    <s v="2026"/>
    <s v="Wap"/>
    <x v="9"/>
    <s v="Cykadas - Club 3"/>
    <n v="300"/>
    <x v="6"/>
    <x v="20"/>
    <x v="1"/>
    <x v="1"/>
  </r>
  <r>
    <d v="2026-03-21T00:00:00"/>
    <x v="1"/>
    <s v="2026"/>
    <s v="Wap"/>
    <x v="17"/>
    <s v="Digital Virgo - Club 1"/>
    <n v="100"/>
    <x v="0"/>
    <x v="2"/>
    <x v="1"/>
    <x v="1"/>
  </r>
  <r>
    <d v="2026-02-14T00:00:00"/>
    <x v="3"/>
    <s v="2026"/>
    <s v="Wap"/>
    <x v="11"/>
    <s v="AWG - Club 3"/>
    <n v="101"/>
    <x v="0"/>
    <x v="7"/>
    <x v="0"/>
    <x v="0"/>
  </r>
  <r>
    <d v="2026-03-26T00:00:00"/>
    <x v="1"/>
    <s v="2026"/>
    <s v="Web"/>
    <x v="7"/>
    <s v="Digevo - Club 1"/>
    <n v="400"/>
    <x v="1"/>
    <x v="1"/>
    <x v="1"/>
    <x v="1"/>
  </r>
  <r>
    <d v="2026-01-25T00:00:00"/>
    <x v="0"/>
    <s v="2026"/>
    <s v="SMS"/>
    <x v="6"/>
    <s v="airG - Club 3"/>
    <n v="300"/>
    <x v="6"/>
    <x v="20"/>
    <x v="1"/>
    <x v="1"/>
  </r>
  <r>
    <d v="2026-03-30T00:00:00"/>
    <x v="1"/>
    <s v="2026"/>
    <s v="Otro"/>
    <x v="5"/>
    <s v="T-Mobs - Club 3"/>
    <n v="700"/>
    <x v="4"/>
    <x v="14"/>
    <x v="1"/>
    <x v="1"/>
  </r>
  <r>
    <d v="2026-05-15T00:00:00"/>
    <x v="2"/>
    <s v="2026"/>
    <s v="Wap"/>
    <x v="12"/>
    <s v="Bennu - Club 2"/>
    <n v="100"/>
    <x v="0"/>
    <x v="2"/>
    <x v="1"/>
    <x v="1"/>
  </r>
  <r>
    <d v="2026-01-20T00:00:00"/>
    <x v="0"/>
    <s v="2026"/>
    <s v="Web"/>
    <x v="3"/>
    <s v="Celcom - Club 2"/>
    <n v="800"/>
    <x v="5"/>
    <x v="18"/>
    <x v="1"/>
    <x v="1"/>
  </r>
  <r>
    <d v="2026-02-09T00:00:00"/>
    <x v="3"/>
    <s v="2026"/>
    <s v="Wap"/>
    <x v="13"/>
    <s v="Zed - Club 3"/>
    <n v="204"/>
    <x v="2"/>
    <x v="21"/>
    <x v="0"/>
    <x v="0"/>
  </r>
  <r>
    <d v="2026-04-16T00:00:00"/>
    <x v="4"/>
    <s v="2026"/>
    <s v="Otro"/>
    <x v="10"/>
    <s v="SocialAst - Club 2"/>
    <n v="700"/>
    <x v="4"/>
    <x v="14"/>
    <x v="1"/>
    <x v="1"/>
  </r>
  <r>
    <d v="2026-02-21T00:00:00"/>
    <x v="3"/>
    <s v="2026"/>
    <s v="Web"/>
    <x v="17"/>
    <s v="Digital Virgo - Club 1"/>
    <n v="106"/>
    <x v="0"/>
    <x v="45"/>
    <x v="0"/>
    <x v="0"/>
  </r>
  <r>
    <d v="2026-02-02T00:00:00"/>
    <x v="3"/>
    <s v="2026"/>
    <s v="Wap"/>
    <x v="6"/>
    <s v="airG - Club 3"/>
    <n v="407"/>
    <x v="1"/>
    <x v="47"/>
    <x v="0"/>
    <x v="0"/>
  </r>
  <r>
    <d v="2026-01-06T00:00:00"/>
    <x v="0"/>
    <s v="2026"/>
    <s v="Wap"/>
    <x v="9"/>
    <s v="Cykadas - Club 2"/>
    <n v="500"/>
    <x v="3"/>
    <x v="8"/>
    <x v="1"/>
    <x v="1"/>
  </r>
  <r>
    <d v="2026-01-28T00:00:00"/>
    <x v="0"/>
    <s v="2026"/>
    <s v="SMS"/>
    <x v="8"/>
    <s v="KMD - Club 2"/>
    <n v="701"/>
    <x v="4"/>
    <x v="52"/>
    <x v="0"/>
    <x v="0"/>
  </r>
  <r>
    <d v="2026-02-25T00:00:00"/>
    <x v="3"/>
    <s v="2026"/>
    <s v="Web"/>
    <x v="2"/>
    <s v="Opratel - Club 3"/>
    <n v="500"/>
    <x v="3"/>
    <x v="8"/>
    <x v="1"/>
    <x v="1"/>
  </r>
  <r>
    <d v="2026-03-02T00:00:00"/>
    <x v="1"/>
    <s v="2026"/>
    <s v="Web"/>
    <x v="4"/>
    <s v="Chocolate - Club 1"/>
    <n v="300"/>
    <x v="6"/>
    <x v="20"/>
    <x v="1"/>
    <x v="1"/>
  </r>
  <r>
    <d v="2026-01-08T00:00:00"/>
    <x v="0"/>
    <s v="2026"/>
    <s v="Wap"/>
    <x v="12"/>
    <s v="Bennu - Club 2"/>
    <n v="200"/>
    <x v="2"/>
    <x v="6"/>
    <x v="1"/>
    <x v="1"/>
  </r>
  <r>
    <d v="2026-03-07T00:00:00"/>
    <x v="1"/>
    <s v="2026"/>
    <s v="Web"/>
    <x v="14"/>
    <s v="FaroMobile - Club 2"/>
    <n v="308"/>
    <x v="6"/>
    <x v="44"/>
    <x v="0"/>
    <x v="0"/>
  </r>
  <r>
    <d v="2026-02-25T00:00:00"/>
    <x v="3"/>
    <s v="2026"/>
    <s v="Web"/>
    <x v="9"/>
    <s v="Cykadas - Club 3"/>
    <n v="210"/>
    <x v="2"/>
    <x v="22"/>
    <x v="0"/>
    <x v="0"/>
  </r>
  <r>
    <d v="2026-03-10T00:00:00"/>
    <x v="1"/>
    <s v="2026"/>
    <s v="Wap"/>
    <x v="6"/>
    <s v="airG - Club 3"/>
    <n v="204"/>
    <x v="2"/>
    <x v="21"/>
    <x v="0"/>
    <x v="0"/>
  </r>
  <r>
    <d v="2026-02-11T00:00:00"/>
    <x v="3"/>
    <s v="2026"/>
    <s v="Web"/>
    <x v="6"/>
    <s v="airG - Club 2"/>
    <n v="700"/>
    <x v="4"/>
    <x v="14"/>
    <x v="1"/>
    <x v="1"/>
  </r>
  <r>
    <d v="2026-01-21T00:00:00"/>
    <x v="0"/>
    <s v="2026"/>
    <s v="Otro"/>
    <x v="11"/>
    <s v="AWG - Club 2"/>
    <n v="100"/>
    <x v="0"/>
    <x v="2"/>
    <x v="1"/>
    <x v="1"/>
  </r>
  <r>
    <d v="2026-02-14T00:00:00"/>
    <x v="3"/>
    <s v="2026"/>
    <s v="Wap"/>
    <x v="1"/>
    <s v="Renxo - Club 3"/>
    <n v="100"/>
    <x v="0"/>
    <x v="2"/>
    <x v="1"/>
    <x v="1"/>
  </r>
  <r>
    <d v="2026-03-19T00:00:00"/>
    <x v="1"/>
    <s v="2026"/>
    <s v="Wap"/>
    <x v="5"/>
    <s v="T-Mobs - Club 2"/>
    <n v="206"/>
    <x v="2"/>
    <x v="57"/>
    <x v="2"/>
    <x v="0"/>
  </r>
  <r>
    <d v="2026-03-25T00:00:00"/>
    <x v="1"/>
    <s v="2026"/>
    <s v="Wap"/>
    <x v="6"/>
    <s v="airG - Club 1"/>
    <n v="800"/>
    <x v="5"/>
    <x v="18"/>
    <x v="1"/>
    <x v="1"/>
  </r>
  <r>
    <d v="2026-05-08T00:00:00"/>
    <x v="2"/>
    <s v="2026"/>
    <s v="Wap"/>
    <x v="12"/>
    <s v="Bennu - Club 2"/>
    <n v="206"/>
    <x v="2"/>
    <x v="57"/>
    <x v="2"/>
    <x v="0"/>
  </r>
  <r>
    <d v="2026-03-25T00:00:00"/>
    <x v="1"/>
    <s v="2026"/>
    <s v="Web"/>
    <x v="12"/>
    <s v="Bennu - Club 2"/>
    <n v="107"/>
    <x v="0"/>
    <x v="11"/>
    <x v="0"/>
    <x v="0"/>
  </r>
  <r>
    <d v="2026-04-16T00:00:00"/>
    <x v="4"/>
    <s v="2026"/>
    <s v="Web"/>
    <x v="8"/>
    <s v="KMD - Club 3"/>
    <n v="100"/>
    <x v="0"/>
    <x v="2"/>
    <x v="1"/>
    <x v="1"/>
  </r>
  <r>
    <d v="2026-02-02T00:00:00"/>
    <x v="3"/>
    <s v="2026"/>
    <s v="Web"/>
    <x v="2"/>
    <s v="Opratel - Club 3"/>
    <n v="500"/>
    <x v="3"/>
    <x v="8"/>
    <x v="1"/>
    <x v="1"/>
  </r>
  <r>
    <d v="2026-01-19T00:00:00"/>
    <x v="0"/>
    <s v="2026"/>
    <s v="SAT"/>
    <x v="1"/>
    <s v="Renxo - Club 3"/>
    <n v="800"/>
    <x v="5"/>
    <x v="18"/>
    <x v="1"/>
    <x v="1"/>
  </r>
  <r>
    <d v="2026-02-03T00:00:00"/>
    <x v="3"/>
    <s v="2026"/>
    <s v="Wap"/>
    <x v="15"/>
    <s v="GPM - Club 2"/>
    <n v="108"/>
    <x v="0"/>
    <x v="53"/>
    <x v="0"/>
    <x v="0"/>
  </r>
  <r>
    <d v="2026-01-02T00:00:00"/>
    <x v="0"/>
    <s v="2026"/>
    <s v="Web"/>
    <x v="11"/>
    <s v="AWG - Club 3"/>
    <n v="304"/>
    <x v="6"/>
    <x v="49"/>
    <x v="0"/>
    <x v="0"/>
  </r>
  <r>
    <d v="2026-03-26T00:00:00"/>
    <x v="1"/>
    <s v="2026"/>
    <s v="Otro"/>
    <x v="6"/>
    <s v="airG - Club 3"/>
    <n v="202"/>
    <x v="2"/>
    <x v="58"/>
    <x v="2"/>
    <x v="0"/>
  </r>
  <r>
    <d v="2026-04-28T00:00:00"/>
    <x v="4"/>
    <s v="2026"/>
    <s v="Web"/>
    <x v="0"/>
    <s v="Wasabi - Club 1"/>
    <n v="407"/>
    <x v="1"/>
    <x v="47"/>
    <x v="0"/>
    <x v="0"/>
  </r>
  <r>
    <d v="2026-04-26T00:00:00"/>
    <x v="4"/>
    <s v="2026"/>
    <s v="Otro"/>
    <x v="13"/>
    <s v="Zed - Club 3"/>
    <n v="300"/>
    <x v="6"/>
    <x v="20"/>
    <x v="1"/>
    <x v="1"/>
  </r>
  <r>
    <d v="2026-04-20T00:00:00"/>
    <x v="4"/>
    <s v="2026"/>
    <s v="Wap"/>
    <x v="13"/>
    <s v="Zed - Club 1"/>
    <n v="102"/>
    <x v="0"/>
    <x v="38"/>
    <x v="0"/>
    <x v="0"/>
  </r>
  <r>
    <d v="2026-01-29T00:00:00"/>
    <x v="0"/>
    <s v="2026"/>
    <s v="Wap"/>
    <x v="12"/>
    <s v="Bennu - Club 1"/>
    <n v="100"/>
    <x v="0"/>
    <x v="2"/>
    <x v="1"/>
    <x v="1"/>
  </r>
  <r>
    <d v="2026-01-10T00:00:00"/>
    <x v="0"/>
    <s v="2026"/>
    <s v="Wap"/>
    <x v="17"/>
    <s v="Digital Virgo - Club 3"/>
    <n v="100"/>
    <x v="0"/>
    <x v="2"/>
    <x v="1"/>
    <x v="1"/>
  </r>
  <r>
    <d v="2026-01-04T00:00:00"/>
    <x v="0"/>
    <s v="2026"/>
    <s v="Otro"/>
    <x v="12"/>
    <s v="Bennu - Club 3"/>
    <n v="402"/>
    <x v="1"/>
    <x v="12"/>
    <x v="0"/>
    <x v="0"/>
  </r>
  <r>
    <d v="2026-01-18T00:00:00"/>
    <x v="0"/>
    <s v="2026"/>
    <s v="Wap"/>
    <x v="7"/>
    <s v="Digevo - Club 2"/>
    <n v="401"/>
    <x v="1"/>
    <x v="16"/>
    <x v="0"/>
    <x v="0"/>
  </r>
  <r>
    <d v="2026-01-22T00:00:00"/>
    <x v="0"/>
    <s v="2026"/>
    <s v="Wap"/>
    <x v="7"/>
    <s v="Digevo - Club 1"/>
    <n v="200"/>
    <x v="2"/>
    <x v="6"/>
    <x v="1"/>
    <x v="1"/>
  </r>
  <r>
    <d v="2026-04-07T00:00:00"/>
    <x v="4"/>
    <s v="2026"/>
    <s v="Otro"/>
    <x v="10"/>
    <s v="SocialAst - Club 1"/>
    <n v="405"/>
    <x v="1"/>
    <x v="35"/>
    <x v="2"/>
    <x v="0"/>
  </r>
  <r>
    <d v="2026-04-14T00:00:00"/>
    <x v="4"/>
    <s v="2026"/>
    <s v="Web"/>
    <x v="4"/>
    <s v="Chocolate - Club 1"/>
    <n v="300"/>
    <x v="6"/>
    <x v="20"/>
    <x v="1"/>
    <x v="1"/>
  </r>
  <r>
    <d v="2026-05-12T00:00:00"/>
    <x v="2"/>
    <s v="2026"/>
    <s v="Wap"/>
    <x v="7"/>
    <s v="Digevo - Club 1"/>
    <n v="306"/>
    <x v="6"/>
    <x v="56"/>
    <x v="0"/>
    <x v="0"/>
  </r>
  <r>
    <d v="2026-03-18T00:00:00"/>
    <x v="1"/>
    <s v="2026"/>
    <s v="Web"/>
    <x v="7"/>
    <s v="Digevo - Club 3"/>
    <n v="300"/>
    <x v="6"/>
    <x v="20"/>
    <x v="1"/>
    <x v="1"/>
  </r>
  <r>
    <d v="2026-02-05T00:00:00"/>
    <x v="3"/>
    <s v="2026"/>
    <s v="Web"/>
    <x v="3"/>
    <s v="Celcom - Club 3"/>
    <n v="300"/>
    <x v="6"/>
    <x v="20"/>
    <x v="1"/>
    <x v="1"/>
  </r>
  <r>
    <d v="2026-05-13T00:00:00"/>
    <x v="2"/>
    <s v="2026"/>
    <s v="Wap"/>
    <x v="14"/>
    <s v="FaroMobile - Club 3"/>
    <n v="302"/>
    <x v="6"/>
    <x v="46"/>
    <x v="0"/>
    <x v="0"/>
  </r>
  <r>
    <d v="2026-05-03T00:00:00"/>
    <x v="2"/>
    <s v="2026"/>
    <s v="Wap"/>
    <x v="6"/>
    <s v="airG - Club 1"/>
    <n v="210"/>
    <x v="2"/>
    <x v="22"/>
    <x v="0"/>
    <x v="0"/>
  </r>
  <r>
    <d v="2026-03-27T00:00:00"/>
    <x v="1"/>
    <s v="2026"/>
    <s v="Otro"/>
    <x v="7"/>
    <s v="Digevo - Club 1"/>
    <n v="111"/>
    <x v="0"/>
    <x v="43"/>
    <x v="0"/>
    <x v="0"/>
  </r>
  <r>
    <d v="2026-02-28T00:00:00"/>
    <x v="3"/>
    <s v="2026"/>
    <s v="Web"/>
    <x v="0"/>
    <s v="Wasabi - Club 2"/>
    <n v="405"/>
    <x v="1"/>
    <x v="35"/>
    <x v="2"/>
    <x v="0"/>
  </r>
  <r>
    <d v="2026-03-14T00:00:00"/>
    <x v="1"/>
    <s v="2026"/>
    <s v="Wap"/>
    <x v="12"/>
    <s v="Bennu - Club 1"/>
    <n v="208"/>
    <x v="2"/>
    <x v="24"/>
    <x v="0"/>
    <x v="0"/>
  </r>
  <r>
    <d v="2026-04-16T00:00:00"/>
    <x v="4"/>
    <s v="2026"/>
    <s v="Web"/>
    <x v="15"/>
    <s v="GPM - Club 2"/>
    <n v="200"/>
    <x v="2"/>
    <x v="6"/>
    <x v="1"/>
    <x v="1"/>
  </r>
  <r>
    <d v="2026-03-08T00:00:00"/>
    <x v="1"/>
    <s v="2026"/>
    <s v="Wap"/>
    <x v="4"/>
    <s v="Chocolate - Club 2"/>
    <n v="800"/>
    <x v="5"/>
    <x v="18"/>
    <x v="1"/>
    <x v="1"/>
  </r>
  <r>
    <d v="2026-03-11T00:00:00"/>
    <x v="1"/>
    <s v="2026"/>
    <s v="Web"/>
    <x v="12"/>
    <s v="Bennu - Club 3"/>
    <n v="108"/>
    <x v="0"/>
    <x v="53"/>
    <x v="0"/>
    <x v="0"/>
  </r>
  <r>
    <d v="2026-05-02T00:00:00"/>
    <x v="2"/>
    <s v="2026"/>
    <s v="Web"/>
    <x v="2"/>
    <s v="Opratel - Club 1"/>
    <n v="700"/>
    <x v="4"/>
    <x v="14"/>
    <x v="1"/>
    <x v="1"/>
  </r>
  <r>
    <d v="2026-05-14T00:00:00"/>
    <x v="2"/>
    <s v="2026"/>
    <s v="Wap"/>
    <x v="0"/>
    <s v="Wasabi - Club 3"/>
    <n v="700"/>
    <x v="4"/>
    <x v="14"/>
    <x v="1"/>
    <x v="1"/>
  </r>
  <r>
    <d v="2026-01-07T00:00:00"/>
    <x v="0"/>
    <s v="2026"/>
    <s v="Web"/>
    <x v="5"/>
    <s v="T-Mobs - Club 3"/>
    <n v="404"/>
    <x v="1"/>
    <x v="24"/>
    <x v="0"/>
    <x v="0"/>
  </r>
  <r>
    <d v="2026-03-11T00:00:00"/>
    <x v="1"/>
    <s v="2026"/>
    <s v="Web"/>
    <x v="3"/>
    <s v="Celcom - Club 2"/>
    <n v="300"/>
    <x v="6"/>
    <x v="20"/>
    <x v="1"/>
    <x v="1"/>
  </r>
  <r>
    <d v="2026-01-19T00:00:00"/>
    <x v="0"/>
    <s v="2026"/>
    <s v="Otro"/>
    <x v="9"/>
    <s v="Cykadas - Club 2"/>
    <n v="101"/>
    <x v="0"/>
    <x v="7"/>
    <x v="0"/>
    <x v="0"/>
  </r>
  <r>
    <d v="2026-05-13T00:00:00"/>
    <x v="2"/>
    <s v="2026"/>
    <s v="Tienda"/>
    <x v="9"/>
    <s v="Cykadas - Club 3"/>
    <n v="100"/>
    <x v="0"/>
    <x v="2"/>
    <x v="1"/>
    <x v="1"/>
  </r>
  <r>
    <d v="2026-01-07T00:00:00"/>
    <x v="0"/>
    <s v="2026"/>
    <s v="Wap"/>
    <x v="4"/>
    <s v="Chocolate - Club 1"/>
    <n v="700"/>
    <x v="4"/>
    <x v="14"/>
    <x v="1"/>
    <x v="1"/>
  </r>
  <r>
    <d v="2026-05-04T00:00:00"/>
    <x v="2"/>
    <s v="2026"/>
    <s v="Web"/>
    <x v="12"/>
    <s v="Bennu - Club 1"/>
    <n v="112"/>
    <x v="0"/>
    <x v="0"/>
    <x v="0"/>
    <x v="0"/>
  </r>
  <r>
    <d v="2026-01-25T00:00:00"/>
    <x v="0"/>
    <s v="2026"/>
    <s v="Wap"/>
    <x v="5"/>
    <s v="T-Mobs - Club 2"/>
    <n v="400"/>
    <x v="1"/>
    <x v="1"/>
    <x v="1"/>
    <x v="1"/>
  </r>
  <r>
    <d v="2026-01-20T00:00:00"/>
    <x v="0"/>
    <s v="2026"/>
    <s v="Otro"/>
    <x v="15"/>
    <s v="GPM - Club 3"/>
    <n v="400"/>
    <x v="1"/>
    <x v="1"/>
    <x v="1"/>
    <x v="1"/>
  </r>
  <r>
    <d v="2026-04-18T00:00:00"/>
    <x v="4"/>
    <s v="2026"/>
    <s v="Wap"/>
    <x v="2"/>
    <s v="Opratel - Club 2"/>
    <n v="200"/>
    <x v="2"/>
    <x v="6"/>
    <x v="1"/>
    <x v="1"/>
  </r>
  <r>
    <d v="2026-02-12T00:00:00"/>
    <x v="3"/>
    <s v="2026"/>
    <s v="Web"/>
    <x v="2"/>
    <s v="Opratel - Club 3"/>
    <n v="800"/>
    <x v="5"/>
    <x v="18"/>
    <x v="1"/>
    <x v="1"/>
  </r>
  <r>
    <d v="2026-02-21T00:00:00"/>
    <x v="3"/>
    <s v="2026"/>
    <s v="Wap"/>
    <x v="16"/>
    <s v="True Caller - Club 1"/>
    <n v="800"/>
    <x v="5"/>
    <x v="18"/>
    <x v="1"/>
    <x v="1"/>
  </r>
  <r>
    <d v="2026-03-31T00:00:00"/>
    <x v="1"/>
    <s v="2026"/>
    <s v="Wap"/>
    <x v="8"/>
    <s v="KMD - Club 2"/>
    <n v="400"/>
    <x v="1"/>
    <x v="1"/>
    <x v="1"/>
    <x v="1"/>
  </r>
  <r>
    <d v="2026-04-25T00:00:00"/>
    <x v="4"/>
    <s v="2026"/>
    <s v="Wap"/>
    <x v="9"/>
    <s v="Cykadas - Club 2"/>
    <n v="501"/>
    <x v="3"/>
    <x v="50"/>
    <x v="0"/>
    <x v="0"/>
  </r>
  <r>
    <d v="2026-03-14T00:00:00"/>
    <x v="1"/>
    <s v="2026"/>
    <s v="Wap"/>
    <x v="0"/>
    <s v="Wasabi - Club 2"/>
    <n v="106"/>
    <x v="0"/>
    <x v="45"/>
    <x v="0"/>
    <x v="0"/>
  </r>
  <r>
    <d v="2026-01-12T00:00:00"/>
    <x v="0"/>
    <s v="2026"/>
    <s v="Otro"/>
    <x v="9"/>
    <s v="Cykadas - Club 3"/>
    <n v="100"/>
    <x v="0"/>
    <x v="2"/>
    <x v="1"/>
    <x v="1"/>
  </r>
  <r>
    <d v="2026-03-26T00:00:00"/>
    <x v="1"/>
    <s v="2026"/>
    <s v="Wap"/>
    <x v="15"/>
    <s v="GPM - Club 1"/>
    <n v="700"/>
    <x v="4"/>
    <x v="14"/>
    <x v="1"/>
    <x v="1"/>
  </r>
  <r>
    <d v="2026-05-09T00:00:00"/>
    <x v="2"/>
    <s v="2026"/>
    <s v="Web"/>
    <x v="3"/>
    <s v="Celcom - Club 2"/>
    <n v="400"/>
    <x v="1"/>
    <x v="1"/>
    <x v="1"/>
    <x v="1"/>
  </r>
  <r>
    <d v="2026-01-16T00:00:00"/>
    <x v="0"/>
    <s v="2026"/>
    <s v="Web"/>
    <x v="0"/>
    <s v="Wasabi - Club 2"/>
    <n v="100"/>
    <x v="0"/>
    <x v="2"/>
    <x v="1"/>
    <x v="1"/>
  </r>
  <r>
    <d v="2026-02-03T00:00:00"/>
    <x v="3"/>
    <s v="2026"/>
    <s v="Otro"/>
    <x v="3"/>
    <s v="Celcom - Club 3"/>
    <n v="100"/>
    <x v="0"/>
    <x v="2"/>
    <x v="1"/>
    <x v="1"/>
  </r>
  <r>
    <d v="2026-04-25T00:00:00"/>
    <x v="4"/>
    <s v="2026"/>
    <s v="Otro"/>
    <x v="7"/>
    <s v="Digevo - Club 1"/>
    <n v="105"/>
    <x v="0"/>
    <x v="54"/>
    <x v="2"/>
    <x v="0"/>
  </r>
  <r>
    <d v="2026-02-12T00:00:00"/>
    <x v="3"/>
    <s v="2026"/>
    <s v="Web"/>
    <x v="17"/>
    <s v="Digital Virgo - Club 1"/>
    <n v="401"/>
    <x v="1"/>
    <x v="16"/>
    <x v="0"/>
    <x v="0"/>
  </r>
  <r>
    <d v="2026-02-15T00:00:00"/>
    <x v="3"/>
    <s v="2026"/>
    <s v="Wap"/>
    <x v="7"/>
    <s v="Digevo - Club 2"/>
    <n v="111"/>
    <x v="0"/>
    <x v="43"/>
    <x v="0"/>
    <x v="0"/>
  </r>
  <r>
    <d v="2026-03-29T00:00:00"/>
    <x v="1"/>
    <s v="2026"/>
    <s v="Otro"/>
    <x v="1"/>
    <s v="Renxo - Club 3"/>
    <n v="703"/>
    <x v="4"/>
    <x v="9"/>
    <x v="0"/>
    <x v="0"/>
  </r>
  <r>
    <d v="2026-01-03T00:00:00"/>
    <x v="0"/>
    <s v="2026"/>
    <s v="Wap"/>
    <x v="2"/>
    <s v="Opratel - Club 2"/>
    <n v="508"/>
    <x v="3"/>
    <x v="10"/>
    <x v="0"/>
    <x v="0"/>
  </r>
  <r>
    <d v="2026-04-07T00:00:00"/>
    <x v="4"/>
    <s v="2026"/>
    <s v="Wap"/>
    <x v="16"/>
    <s v="True Caller - Club 2"/>
    <n v="102"/>
    <x v="0"/>
    <x v="38"/>
    <x v="0"/>
    <x v="0"/>
  </r>
  <r>
    <d v="2026-05-15T00:00:00"/>
    <x v="2"/>
    <s v="2026"/>
    <s v="Wap"/>
    <x v="14"/>
    <s v="FaroMobile - Club 1"/>
    <n v="500"/>
    <x v="3"/>
    <x v="8"/>
    <x v="1"/>
    <x v="1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5"/>
    <s v=""/>
    <m/>
    <x v="18"/>
    <m/>
    <m/>
    <x v="7"/>
    <x v="62"/>
    <x v="4"/>
    <x v="2"/>
  </r>
  <r>
    <m/>
    <x v="6"/>
    <m/>
    <m/>
    <x v="18"/>
    <m/>
    <m/>
    <x v="8"/>
    <x v="63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912F2-F334-49D6-98E8-0FB4638E6869}" name="TablaDinámica5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showHeaders="0" outline="1" outlineData="1" multipleFieldFilters="0" chartFormat="2">
  <location ref="B119:H124" firstHeaderRow="1" firstDataRow="2" firstDataCol="1" rowPageCount="2" colPageCount="1"/>
  <pivotFields count="11">
    <pivotField showAll="0"/>
    <pivotField axis="axisCol" multipleItemSelectionAllowed="1" showAll="0">
      <items count="9">
        <item x="0"/>
        <item x="3"/>
        <item x="1"/>
        <item x="4"/>
        <item x="2"/>
        <item m="1" x="7"/>
        <item x="5"/>
        <item x="6"/>
        <item t="default"/>
      </items>
    </pivotField>
    <pivotField showAll="0"/>
    <pivotField showAll="0"/>
    <pivotField axis="axisPage" multipleItemSelectionAllowed="1" showAll="0">
      <items count="20">
        <item x="6"/>
        <item x="11"/>
        <item x="12"/>
        <item x="3"/>
        <item x="4"/>
        <item x="9"/>
        <item x="7"/>
        <item x="17"/>
        <item x="14"/>
        <item x="15"/>
        <item x="8"/>
        <item x="2"/>
        <item x="1"/>
        <item x="10"/>
        <item x="5"/>
        <item x="16"/>
        <item x="0"/>
        <item x="13"/>
        <item x="18"/>
        <item t="default"/>
      </items>
    </pivotField>
    <pivotField showAll="0"/>
    <pivotField showAll="0"/>
    <pivotField showAll="0">
      <items count="10">
        <item x="7"/>
        <item x="0"/>
        <item x="2"/>
        <item x="6"/>
        <item x="1"/>
        <item x="3"/>
        <item x="4"/>
        <item x="5"/>
        <item x="8"/>
        <item t="default"/>
      </items>
    </pivotField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axis="axisPage" dataField="1" multipleItemSelectionAllowed="1" showAll="0">
      <items count="5">
        <item h="1" x="2"/>
        <item h="1" x="1"/>
        <item x="0"/>
        <item h="1" x="3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4" hier="-1"/>
    <pageField fld="10" hier="-1"/>
  </pageFields>
  <dataFields count="1">
    <dataField name="Cuenta de Resultado" fld="10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72508-ACAA-476C-9BCF-05301373DC7F}" name="TablaDinámica4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showHeaders="0" outline="1" outlineData="1" multipleFieldFilters="0" chartFormat="2">
  <location ref="B100:E109" firstHeaderRow="1" firstDataRow="2" firstDataCol="1" rowPageCount="2" colPageCount="1"/>
  <pivotFields count="11">
    <pivotField showAll="0"/>
    <pivotField axis="axisPage" multipleItemSelectionAllowed="1" showAll="0">
      <items count="9">
        <item x="0"/>
        <item h="1" x="3"/>
        <item h="1" x="1"/>
        <item h="1" x="4"/>
        <item h="1" x="2"/>
        <item m="1" x="7"/>
        <item h="1" x="5"/>
        <item h="1" x="6"/>
        <item t="default"/>
      </items>
    </pivotField>
    <pivotField showAll="0"/>
    <pivotField showAll="0"/>
    <pivotField axis="axisPage" multipleItemSelectionAllowed="1" showAll="0">
      <items count="20">
        <item x="6"/>
        <item h="1" x="11"/>
        <item h="1" x="12"/>
        <item h="1" x="3"/>
        <item h="1" x="4"/>
        <item h="1" x="9"/>
        <item h="1" x="7"/>
        <item h="1" x="17"/>
        <item h="1" x="14"/>
        <item h="1" x="15"/>
        <item h="1" x="8"/>
        <item h="1" x="2"/>
        <item h="1" x="1"/>
        <item h="1" x="10"/>
        <item h="1" x="5"/>
        <item h="1" x="16"/>
        <item h="1" x="0"/>
        <item h="1" x="13"/>
        <item h="1" x="18"/>
        <item t="default"/>
      </items>
    </pivotField>
    <pivotField showAll="0"/>
    <pivotField showAll="0"/>
    <pivotField axis="axisRow" showAll="0">
      <items count="10">
        <item x="7"/>
        <item x="0"/>
        <item x="2"/>
        <item x="6"/>
        <item x="1"/>
        <item x="3"/>
        <item x="4"/>
        <item x="5"/>
        <item x="8"/>
        <item t="default"/>
      </items>
    </pivotField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3">
    <i>
      <x v="1"/>
    </i>
    <i>
      <x v="2"/>
    </i>
    <i t="grand">
      <x/>
    </i>
  </colItems>
  <pageFields count="2">
    <pageField fld="1" hier="-1"/>
    <pageField fld="4" hier="-1"/>
  </pageFields>
  <dataFields count="1">
    <dataField name="Cuenta de Resultado" fld="10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830A9-A087-45E1-8B0E-273E0CB2076B}" name="TablaDinámica3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showHeaders="0" outline="1" outlineData="1" multipleFieldFilters="0" chartFormat="2">
  <location ref="B41:C93" firstHeaderRow="1" firstDataRow="1" firstDataCol="1" rowPageCount="2" colPageCount="1"/>
  <pivotFields count="11">
    <pivotField showAll="0"/>
    <pivotField axis="axisPage" multipleItemSelectionAllowed="1" showAll="0">
      <items count="9">
        <item h="1" x="0"/>
        <item x="3"/>
        <item h="1" x="1"/>
        <item h="1" x="4"/>
        <item h="1" x="2"/>
        <item m="1" x="7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x="7"/>
        <item x="0"/>
        <item x="2"/>
        <item x="6"/>
        <item x="1"/>
        <item x="3"/>
        <item x="4"/>
        <item x="5"/>
        <item x="8"/>
        <item t="default"/>
      </items>
    </pivotField>
    <pivotField axis="axisRow" showAll="0">
      <items count="65">
        <item x="62"/>
        <item x="51"/>
        <item x="2"/>
        <item x="8"/>
        <item x="60"/>
        <item x="20"/>
        <item x="49"/>
        <item x="39"/>
        <item x="22"/>
        <item x="32"/>
        <item x="6"/>
        <item x="48"/>
        <item x="30"/>
        <item x="29"/>
        <item x="21"/>
        <item x="36"/>
        <item x="43"/>
        <item x="0"/>
        <item x="25"/>
        <item x="59"/>
        <item x="38"/>
        <item x="11"/>
        <item x="45"/>
        <item x="31"/>
        <item x="9"/>
        <item x="37"/>
        <item x="14"/>
        <item x="54"/>
        <item x="40"/>
        <item x="26"/>
        <item x="56"/>
        <item x="4"/>
        <item x="53"/>
        <item x="58"/>
        <item x="61"/>
        <item x="34"/>
        <item x="57"/>
        <item x="24"/>
        <item x="28"/>
        <item x="15"/>
        <item x="44"/>
        <item x="27"/>
        <item x="52"/>
        <item x="50"/>
        <item x="17"/>
        <item x="41"/>
        <item x="13"/>
        <item x="23"/>
        <item x="47"/>
        <item x="42"/>
        <item x="5"/>
        <item x="46"/>
        <item x="55"/>
        <item x="10"/>
        <item x="7"/>
        <item x="33"/>
        <item x="18"/>
        <item x="12"/>
        <item x="19"/>
        <item x="1"/>
        <item x="16"/>
        <item x="35"/>
        <item x="3"/>
        <item x="63"/>
        <item t="default"/>
      </items>
    </pivotField>
    <pivotField showAll="0"/>
    <pivotField axis="axisPage" dataField="1" multipleItemSelectionAllowed="1" showAll="0">
      <items count="5">
        <item h="1" x="2"/>
        <item h="1" x="1"/>
        <item x="0"/>
        <item h="1" x="3"/>
        <item t="default"/>
      </items>
    </pivotField>
  </pivotFields>
  <rowFields count="1">
    <field x="8"/>
  </rowFields>
  <rowItems count="52">
    <i>
      <x v="1"/>
    </i>
    <i>
      <x v="4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4"/>
    </i>
    <i>
      <x v="55"/>
    </i>
    <i>
      <x v="57"/>
    </i>
    <i>
      <x v="58"/>
    </i>
    <i>
      <x v="60"/>
    </i>
    <i>
      <x v="61"/>
    </i>
    <i>
      <x v="62"/>
    </i>
    <i t="grand">
      <x/>
    </i>
  </rowItems>
  <colItems count="1">
    <i/>
  </colItems>
  <pageFields count="2">
    <pageField fld="1" hier="-1"/>
    <pageField fld="10" hier="-1"/>
  </pageFields>
  <dataFields count="1">
    <dataField name="Cuenta de Resultado" fld="10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83EB7-D16F-4F37-89FE-9620BB6CA07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showHeaders="0" outline="1" outlineData="1" multipleFieldFilters="0" chartFormat="2">
  <location ref="B26:E35" firstHeaderRow="1" firstDataRow="2" firstDataCol="1" rowPageCount="1" colPageCount="1"/>
  <pivotFields count="11">
    <pivotField showAll="0"/>
    <pivotField axis="axisPage" multipleItemSelectionAllowed="1" showAll="0">
      <items count="9">
        <item h="1" x="0"/>
        <item x="3"/>
        <item h="1" x="1"/>
        <item h="1" x="4"/>
        <item h="1" x="2"/>
        <item m="1" x="7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6"/>
        <item x="1"/>
        <item x="3"/>
        <item x="4"/>
        <item x="5"/>
        <item x="8"/>
        <item t="default"/>
      </items>
    </pivotField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3">
    <i>
      <x v="1"/>
    </i>
    <i>
      <x v="2"/>
    </i>
    <i t="grand">
      <x/>
    </i>
  </colItems>
  <pageFields count="1">
    <pageField fld="1" hier="-1"/>
  </pageFields>
  <dataFields count="1">
    <dataField name="Cuenta de Resultado" fld="10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41506-F10C-4419-86CC-46DCC70AB95F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showHeaders="0" outline="1" outlineData="1" multipleFieldFilters="0" chartFormat="2">
  <location ref="B3:C6" firstHeaderRow="1" firstDataRow="1" firstDataCol="1" rowPageCount="1" colPageCount="1"/>
  <pivotFields count="11">
    <pivotField showAll="0"/>
    <pivotField axis="axisPage" multipleItemSelectionAllowed="1" showAll="0">
      <items count="9">
        <item h="1" x="0"/>
        <item x="3"/>
        <item h="1" x="1"/>
        <item h="1" x="4"/>
        <item h="1" x="2"/>
        <item m="1" x="7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3"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uenta de Resultado" fld="1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0628-A052-44A6-9975-D5E0407C2030}">
  <sheetPr>
    <tabColor theme="4"/>
  </sheetPr>
  <dimension ref="A1:K1001"/>
  <sheetViews>
    <sheetView showGridLines="0" tabSelected="1" zoomScale="85" zoomScaleNormal="85" workbookViewId="0">
      <selection activeCell="E15" sqref="E15"/>
    </sheetView>
  </sheetViews>
  <sheetFormatPr baseColWidth="10" defaultRowHeight="14.5" x14ac:dyDescent="0.35"/>
  <cols>
    <col min="1" max="1" width="19.6328125" customWidth="1"/>
    <col min="5" max="5" width="23.6328125" customWidth="1"/>
    <col min="6" max="6" width="30.90625" customWidth="1"/>
    <col min="7" max="7" width="15.08984375" style="1" customWidth="1"/>
    <col min="8" max="8" width="38.08984375" customWidth="1"/>
    <col min="9" max="9" width="52.26953125" bestFit="1" customWidth="1"/>
    <col min="10" max="10" width="21.1796875" customWidth="1"/>
    <col min="11" max="11" width="15" customWidth="1"/>
  </cols>
  <sheetData>
    <row r="1" spans="1:11" x14ac:dyDescent="0.35">
      <c r="A1" s="22" t="s">
        <v>0</v>
      </c>
      <c r="B1" s="18" t="s">
        <v>1</v>
      </c>
      <c r="C1" s="18" t="s">
        <v>2</v>
      </c>
      <c r="D1" s="22" t="s">
        <v>203</v>
      </c>
      <c r="E1" s="22" t="s">
        <v>3</v>
      </c>
      <c r="F1" s="22" t="s">
        <v>4</v>
      </c>
      <c r="G1" s="22" t="s">
        <v>82</v>
      </c>
      <c r="H1" s="17" t="s">
        <v>83</v>
      </c>
      <c r="I1" s="17" t="s">
        <v>85</v>
      </c>
      <c r="J1" s="17" t="s">
        <v>6</v>
      </c>
      <c r="K1" s="17" t="s">
        <v>220</v>
      </c>
    </row>
    <row r="2" spans="1:11" x14ac:dyDescent="0.35">
      <c r="A2" s="23">
        <v>46046</v>
      </c>
      <c r="B2" s="19" t="str">
        <f>IF(LEN(A2)=0,"",TEXT(A2,"mmmm"))</f>
        <v>enero</v>
      </c>
      <c r="C2" s="19" t="str">
        <f>IF(LEN(A2)=0,"",TEXT(A2,"aaaa"))</f>
        <v>2026</v>
      </c>
      <c r="D2" s="24" t="s">
        <v>206</v>
      </c>
      <c r="E2" s="25" t="s">
        <v>25</v>
      </c>
      <c r="F2" s="25" t="s">
        <v>198</v>
      </c>
      <c r="G2" s="24">
        <v>112</v>
      </c>
      <c r="H2" s="19" t="str">
        <f>IF(LEN(G2)=0,"",VLOOKUP(G2,Issues!A:D,2,FALSE))</f>
        <v>(100)  Alta</v>
      </c>
      <c r="I2" s="20" t="str">
        <f>IF(LEN(G2)=0,"",VLOOKUP(G2,Issues!A:D,3,FALSE))</f>
        <v>Falla en alta a traves de tienda.</v>
      </c>
      <c r="J2" s="19" t="str">
        <f>IF(LEN(G2)=0,"",VLOOKUP(G2,Issues!A:D,4,FALSE))</f>
        <v>Critico</v>
      </c>
      <c r="K2" s="21" t="str">
        <f>IF(LEN(G2)=0,"",IF(OR(J2="critico",J2="Medio",J2="Bajo"),"Issue",IF(J2="Prueba OK","OK","")))</f>
        <v>Issue</v>
      </c>
    </row>
    <row r="3" spans="1:11" x14ac:dyDescent="0.35">
      <c r="A3" s="23">
        <v>46095</v>
      </c>
      <c r="B3" s="19" t="str">
        <f t="shared" ref="B3:B66" si="0">IF(LEN(A3)=0,"",TEXT(A3,"mmmm"))</f>
        <v>marzo</v>
      </c>
      <c r="C3" s="19" t="str">
        <f t="shared" ref="C3:C66" si="1">IF(LEN(A3)=0,"",TEXT(A3,"aaaa"))</f>
        <v>2026</v>
      </c>
      <c r="D3" s="24" t="s">
        <v>207</v>
      </c>
      <c r="E3" s="25" t="s">
        <v>12</v>
      </c>
      <c r="F3" s="25" t="s">
        <v>168</v>
      </c>
      <c r="G3" s="24">
        <v>400</v>
      </c>
      <c r="H3" s="19" t="str">
        <f>IF(LEN(G3)=0,"",VLOOKUP(G3,Issues!A:D,2,FALSE))</f>
        <v>(400) Portales / Web-App</v>
      </c>
      <c r="I3" s="20" t="str">
        <f>IF(LEN(G3)=0,"",VLOOKUP(G3,Issues!A:D,3,FALSE))</f>
        <v>Portal evaluado con éxito.</v>
      </c>
      <c r="J3" s="19" t="str">
        <f>IF(LEN(G3)=0,"",VLOOKUP(G3,Issues!A:D,4,FALSE))</f>
        <v>Prueba OK</v>
      </c>
      <c r="K3" s="21" t="str">
        <f t="shared" ref="K3:K66" si="2">IF(LEN(G3)=0,"",IF(OR(J3="critico",J3="Medio",J3="Bajo"),"Issue",IF(J3="Prueba OK","OK","")))</f>
        <v>OK</v>
      </c>
    </row>
    <row r="4" spans="1:11" x14ac:dyDescent="0.35">
      <c r="A4" s="23">
        <v>46109</v>
      </c>
      <c r="B4" s="19" t="str">
        <f t="shared" si="0"/>
        <v>marzo</v>
      </c>
      <c r="C4" s="19" t="str">
        <f t="shared" si="1"/>
        <v>2026</v>
      </c>
      <c r="D4" s="24" t="s">
        <v>206</v>
      </c>
      <c r="E4" s="25" t="s">
        <v>10</v>
      </c>
      <c r="F4" s="25" t="s">
        <v>162</v>
      </c>
      <c r="G4" s="24">
        <v>400</v>
      </c>
      <c r="H4" s="19" t="str">
        <f>IF(LEN(G4)=0,"",VLOOKUP(G4,Issues!A:D,2,FALSE))</f>
        <v>(400) Portales / Web-App</v>
      </c>
      <c r="I4" s="20" t="str">
        <f>IF(LEN(G4)=0,"",VLOOKUP(G4,Issues!A:D,3,FALSE))</f>
        <v>Portal evaluado con éxito.</v>
      </c>
      <c r="J4" s="19" t="str">
        <f>IF(LEN(G4)=0,"",VLOOKUP(G4,Issues!A:D,4,FALSE))</f>
        <v>Prueba OK</v>
      </c>
      <c r="K4" s="21" t="str">
        <f t="shared" si="2"/>
        <v>OK</v>
      </c>
    </row>
    <row r="5" spans="1:11" x14ac:dyDescent="0.35">
      <c r="A5" s="23">
        <v>46038</v>
      </c>
      <c r="B5" s="19" t="str">
        <f t="shared" si="0"/>
        <v>enero</v>
      </c>
      <c r="C5" s="19" t="str">
        <f t="shared" si="1"/>
        <v>2026</v>
      </c>
      <c r="D5" s="24" t="s">
        <v>207</v>
      </c>
      <c r="E5" s="25" t="s">
        <v>19</v>
      </c>
      <c r="F5" s="25" t="s">
        <v>187</v>
      </c>
      <c r="G5" s="24">
        <v>100</v>
      </c>
      <c r="H5" s="19" t="str">
        <f>IF(LEN(G5)=0,"",VLOOKUP(G5,Issues!A:D,2,FALSE))</f>
        <v>(100)  Alta</v>
      </c>
      <c r="I5" s="20" t="str">
        <f>IF(LEN(G5)=0,"",VLOOKUP(G5,Issues!A:D,3,FALSE))</f>
        <v>Alta con éxito.</v>
      </c>
      <c r="J5" s="19" t="str">
        <f>IF(LEN(G5)=0,"",VLOOKUP(G5,Issues!A:D,4,FALSE))</f>
        <v>Prueba OK</v>
      </c>
      <c r="K5" s="21" t="str">
        <f t="shared" si="2"/>
        <v>OK</v>
      </c>
    </row>
    <row r="6" spans="1:11" x14ac:dyDescent="0.35">
      <c r="A6" s="23">
        <v>46115</v>
      </c>
      <c r="B6" s="19" t="str">
        <f t="shared" si="0"/>
        <v>abril</v>
      </c>
      <c r="C6" s="19" t="str">
        <f t="shared" si="1"/>
        <v>2026</v>
      </c>
      <c r="D6" s="24" t="s">
        <v>206</v>
      </c>
      <c r="E6" s="25" t="s">
        <v>11</v>
      </c>
      <c r="F6" s="25" t="s">
        <v>166</v>
      </c>
      <c r="G6" s="24">
        <v>113</v>
      </c>
      <c r="H6" s="19" t="str">
        <f>IF(LEN(G6)=0,"",VLOOKUP(G6,Issues!A:D,2,FALSE))</f>
        <v>(100)  Alta</v>
      </c>
      <c r="I6" s="20" t="str">
        <f>IF(LEN(G6)=0,"",VLOOKUP(G6,Issues!A:D,3,FALSE))</f>
        <v>Servicio suspendido.</v>
      </c>
      <c r="J6" s="19" t="str">
        <f>IF(LEN(G6)=0,"",VLOOKUP(G6,Issues!A:D,4,FALSE))</f>
        <v>Medio</v>
      </c>
      <c r="K6" s="21" t="str">
        <f t="shared" si="2"/>
        <v>Issue</v>
      </c>
    </row>
    <row r="7" spans="1:11" x14ac:dyDescent="0.35">
      <c r="A7" s="23">
        <v>46153</v>
      </c>
      <c r="B7" s="19" t="str">
        <f t="shared" si="0"/>
        <v>mayo</v>
      </c>
      <c r="C7" s="19" t="str">
        <f t="shared" si="1"/>
        <v>2026</v>
      </c>
      <c r="D7" s="24" t="s">
        <v>207</v>
      </c>
      <c r="E7" s="25" t="s">
        <v>15</v>
      </c>
      <c r="F7" s="25" t="s">
        <v>173</v>
      </c>
      <c r="G7" s="24">
        <v>408</v>
      </c>
      <c r="H7" s="19" t="str">
        <f>IF(LEN(G7)=0,"",VLOOKUP(G7,Issues!A:D,2,FALSE))</f>
        <v>(400) Portales / Web-App</v>
      </c>
      <c r="I7" s="20" t="str">
        <f>IF(LEN(G7)=0,"",VLOOKUP(G7,Issues!A:D,3,FALSE))</f>
        <v>Inconsistencias en los t&amp;c del portal / web-app.</v>
      </c>
      <c r="J7" s="19" t="str">
        <f>IF(LEN(G7)=0,"",VLOOKUP(G7,Issues!A:D,4,FALSE))</f>
        <v>Critico</v>
      </c>
      <c r="K7" s="21" t="str">
        <f t="shared" si="2"/>
        <v>Issue</v>
      </c>
    </row>
    <row r="8" spans="1:11" x14ac:dyDescent="0.35">
      <c r="A8" s="23">
        <v>46101</v>
      </c>
      <c r="B8" s="19" t="str">
        <f t="shared" si="0"/>
        <v>marzo</v>
      </c>
      <c r="C8" s="19" t="str">
        <f t="shared" si="1"/>
        <v>2026</v>
      </c>
      <c r="D8" s="24" t="s">
        <v>207</v>
      </c>
      <c r="E8" s="25" t="s">
        <v>15</v>
      </c>
      <c r="F8" s="25" t="s">
        <v>174</v>
      </c>
      <c r="G8" s="24">
        <v>104</v>
      </c>
      <c r="H8" s="19" t="str">
        <f>IF(LEN(G8)=0,"",VLOOKUP(G8,Issues!A:D,2,FALSE))</f>
        <v>(100)  Alta</v>
      </c>
      <c r="I8" s="20" t="str">
        <f>IF(LEN(G8)=0,"",VLOOKUP(G8,Issues!A:D,3,FALSE))</f>
        <v>No llega pin code.</v>
      </c>
      <c r="J8" s="19" t="str">
        <f>IF(LEN(G8)=0,"",VLOOKUP(G8,Issues!A:D,4,FALSE))</f>
        <v>Medio</v>
      </c>
      <c r="K8" s="21" t="str">
        <f t="shared" si="2"/>
        <v>Issue</v>
      </c>
    </row>
    <row r="9" spans="1:11" x14ac:dyDescent="0.35">
      <c r="A9" s="23">
        <v>46110</v>
      </c>
      <c r="B9" s="19" t="str">
        <f t="shared" si="0"/>
        <v>marzo</v>
      </c>
      <c r="C9" s="19" t="str">
        <f t="shared" si="1"/>
        <v>2026</v>
      </c>
      <c r="D9" s="24" t="s">
        <v>208</v>
      </c>
      <c r="E9" s="25" t="s">
        <v>16</v>
      </c>
      <c r="F9" s="25" t="s">
        <v>177</v>
      </c>
      <c r="G9" s="24">
        <v>200</v>
      </c>
      <c r="H9" s="19" t="str">
        <f>IF(LEN(G9)=0,"",VLOOKUP(G9,Issues!A:D,2,FALSE))</f>
        <v>(200) Contenidos</v>
      </c>
      <c r="I9" s="20" t="str">
        <f>IF(LEN(G9)=0,"",VLOOKUP(G9,Issues!A:D,3,FALSE))</f>
        <v>Contenidos recibido con éxito.</v>
      </c>
      <c r="J9" s="19" t="str">
        <f>IF(LEN(G9)=0,"",VLOOKUP(G9,Issues!A:D,4,FALSE))</f>
        <v>Prueba OK</v>
      </c>
      <c r="K9" s="21" t="str">
        <f t="shared" si="2"/>
        <v>OK</v>
      </c>
    </row>
    <row r="10" spans="1:11" x14ac:dyDescent="0.35">
      <c r="A10" s="23">
        <v>46055</v>
      </c>
      <c r="B10" s="19" t="str">
        <f t="shared" si="0"/>
        <v>febrero</v>
      </c>
      <c r="C10" s="19" t="str">
        <f t="shared" si="1"/>
        <v>2026</v>
      </c>
      <c r="D10" s="24" t="s">
        <v>206</v>
      </c>
      <c r="E10" s="25" t="s">
        <v>27</v>
      </c>
      <c r="F10" s="25" t="s">
        <v>201</v>
      </c>
      <c r="G10" s="24">
        <v>100</v>
      </c>
      <c r="H10" s="19" t="str">
        <f>IF(LEN(G10)=0,"",VLOOKUP(G10,Issues!A:D,2,FALSE))</f>
        <v>(100)  Alta</v>
      </c>
      <c r="I10" s="20" t="str">
        <f>IF(LEN(G10)=0,"",VLOOKUP(G10,Issues!A:D,3,FALSE))</f>
        <v>Alta con éxito.</v>
      </c>
      <c r="J10" s="19" t="str">
        <f>IF(LEN(G10)=0,"",VLOOKUP(G10,Issues!A:D,4,FALSE))</f>
        <v>Prueba OK</v>
      </c>
      <c r="K10" s="21" t="str">
        <f t="shared" si="2"/>
        <v>OK</v>
      </c>
    </row>
    <row r="11" spans="1:11" x14ac:dyDescent="0.35">
      <c r="A11" s="23">
        <v>46120</v>
      </c>
      <c r="B11" s="19" t="str">
        <f t="shared" si="0"/>
        <v>abril</v>
      </c>
      <c r="C11" s="19" t="str">
        <f t="shared" si="1"/>
        <v>2026</v>
      </c>
      <c r="D11" s="24" t="s">
        <v>207</v>
      </c>
      <c r="E11" s="25" t="s">
        <v>11</v>
      </c>
      <c r="F11" s="25" t="s">
        <v>164</v>
      </c>
      <c r="G11" s="24">
        <v>113</v>
      </c>
      <c r="H11" s="19" t="str">
        <f>IF(LEN(G11)=0,"",VLOOKUP(G11,Issues!A:D,2,FALSE))</f>
        <v>(100)  Alta</v>
      </c>
      <c r="I11" s="20" t="str">
        <f>IF(LEN(G11)=0,"",VLOOKUP(G11,Issues!A:D,3,FALSE))</f>
        <v>Servicio suspendido.</v>
      </c>
      <c r="J11" s="19" t="str">
        <f>IF(LEN(G11)=0,"",VLOOKUP(G11,Issues!A:D,4,FALSE))</f>
        <v>Medio</v>
      </c>
      <c r="K11" s="21" t="str">
        <f t="shared" si="2"/>
        <v>Issue</v>
      </c>
    </row>
    <row r="12" spans="1:11" x14ac:dyDescent="0.35">
      <c r="A12" s="23">
        <v>46082</v>
      </c>
      <c r="B12" s="19" t="str">
        <f t="shared" si="0"/>
        <v>marzo</v>
      </c>
      <c r="C12" s="19" t="str">
        <f t="shared" si="1"/>
        <v>2026</v>
      </c>
      <c r="D12" s="24" t="s">
        <v>208</v>
      </c>
      <c r="E12" s="25" t="s">
        <v>23</v>
      </c>
      <c r="F12" s="25" t="s">
        <v>195</v>
      </c>
      <c r="G12" s="24">
        <v>101</v>
      </c>
      <c r="H12" s="19" t="str">
        <f>IF(LEN(G12)=0,"",VLOOKUP(G12,Issues!A:D,2,FALSE))</f>
        <v>(100)  Alta</v>
      </c>
      <c r="I12" s="20" t="str">
        <f>IF(LEN(G12)=0,"",VLOOKUP(G12,Issues!A:D,3,FALSE))</f>
        <v>No se genero el alta - no hay respuesta al kw.</v>
      </c>
      <c r="J12" s="19" t="str">
        <f>IF(LEN(G12)=0,"",VLOOKUP(G12,Issues!A:D,4,FALSE))</f>
        <v>Critico</v>
      </c>
      <c r="K12" s="21" t="str">
        <f t="shared" si="2"/>
        <v>Issue</v>
      </c>
    </row>
    <row r="13" spans="1:11" x14ac:dyDescent="0.35">
      <c r="A13" s="23">
        <v>46144</v>
      </c>
      <c r="B13" s="19" t="str">
        <f t="shared" si="0"/>
        <v>mayo</v>
      </c>
      <c r="C13" s="19" t="str">
        <f t="shared" si="1"/>
        <v>2026</v>
      </c>
      <c r="D13" s="24" t="s">
        <v>206</v>
      </c>
      <c r="E13" s="25" t="s">
        <v>21</v>
      </c>
      <c r="F13" s="25" t="s">
        <v>192</v>
      </c>
      <c r="G13" s="24">
        <v>500</v>
      </c>
      <c r="H13" s="19" t="str">
        <f>IF(LEN(G13)=0,"",VLOOKUP(G13,Issues!A:D,2,FALSE))</f>
        <v>(500) Baja / Cancelacion</v>
      </c>
      <c r="I13" s="20" t="str">
        <f>IF(LEN(G13)=0,"",VLOOKUP(G13,Issues!A:D,3,FALSE))</f>
        <v>Baja con éxito.</v>
      </c>
      <c r="J13" s="19" t="str">
        <f>IF(LEN(G13)=0,"",VLOOKUP(G13,Issues!A:D,4,FALSE))</f>
        <v>Prueba OK</v>
      </c>
      <c r="K13" s="21" t="str">
        <f t="shared" si="2"/>
        <v>OK</v>
      </c>
    </row>
    <row r="14" spans="1:11" x14ac:dyDescent="0.35">
      <c r="A14" s="23">
        <v>46040</v>
      </c>
      <c r="B14" s="19" t="str">
        <f t="shared" si="0"/>
        <v>enero</v>
      </c>
      <c r="C14" s="19" t="str">
        <f t="shared" si="1"/>
        <v>2026</v>
      </c>
      <c r="D14" s="24" t="s">
        <v>207</v>
      </c>
      <c r="E14" s="25" t="s">
        <v>19</v>
      </c>
      <c r="F14" s="25" t="s">
        <v>187</v>
      </c>
      <c r="G14" s="24">
        <v>703</v>
      </c>
      <c r="H14" s="19" t="str">
        <f>IF(LEN(G14)=0,"",VLOOKUP(G14,Issues!A:D,2,FALSE))</f>
        <v>(700) Interaccion MO/MT (On Demand)</v>
      </c>
      <c r="I14" s="20" t="str">
        <f>IF(LEN(G14)=0,"",VLOOKUP(G14,Issues!A:D,3,FALSE))</f>
        <v>Fallas en la interaccion mo/mt.</v>
      </c>
      <c r="J14" s="19" t="str">
        <f>IF(LEN(G14)=0,"",VLOOKUP(G14,Issues!A:D,4,FALSE))</f>
        <v>Critico</v>
      </c>
      <c r="K14" s="21" t="str">
        <f t="shared" si="2"/>
        <v>Issue</v>
      </c>
    </row>
    <row r="15" spans="1:11" x14ac:dyDescent="0.35">
      <c r="A15" s="23">
        <v>46040</v>
      </c>
      <c r="B15" s="19" t="str">
        <f t="shared" si="0"/>
        <v>enero</v>
      </c>
      <c r="C15" s="19" t="str">
        <f t="shared" si="1"/>
        <v>2026</v>
      </c>
      <c r="D15" s="24" t="s">
        <v>206</v>
      </c>
      <c r="E15" s="25" t="s">
        <v>15</v>
      </c>
      <c r="F15" s="25" t="s">
        <v>175</v>
      </c>
      <c r="G15" s="24">
        <v>508</v>
      </c>
      <c r="H15" s="19" t="str">
        <f>IF(LEN(G15)=0,"",VLOOKUP(G15,Issues!A:D,2,FALSE))</f>
        <v>(500) Baja / Cancelacion</v>
      </c>
      <c r="I15" s="20" t="str">
        <f>IF(LEN(G15)=0,"",VLOOKUP(G15,Issues!A:D,3,FALSE))</f>
        <v>No permite dar baja por no tener saldo.</v>
      </c>
      <c r="J15" s="19" t="str">
        <f>IF(LEN(G15)=0,"",VLOOKUP(G15,Issues!A:D,4,FALSE))</f>
        <v>Critico</v>
      </c>
      <c r="K15" s="21" t="str">
        <f t="shared" si="2"/>
        <v>Issue</v>
      </c>
    </row>
    <row r="16" spans="1:11" x14ac:dyDescent="0.35">
      <c r="A16" s="23">
        <v>46061</v>
      </c>
      <c r="B16" s="19" t="str">
        <f t="shared" si="0"/>
        <v>febrero</v>
      </c>
      <c r="C16" s="19" t="str">
        <f t="shared" si="1"/>
        <v>2026</v>
      </c>
      <c r="D16" s="24" t="s">
        <v>208</v>
      </c>
      <c r="E16" s="25" t="s">
        <v>26</v>
      </c>
      <c r="F16" s="25" t="s">
        <v>156</v>
      </c>
      <c r="G16" s="24">
        <v>107</v>
      </c>
      <c r="H16" s="19" t="str">
        <f>IF(LEN(G16)=0,"",VLOOKUP(G16,Issues!A:D,2,FALSE))</f>
        <v>(100)  Alta</v>
      </c>
      <c r="I16" s="20" t="str">
        <f>IF(LEN(G16)=0,"",VLOOKUP(G16,Issues!A:D,3,FALSE))</f>
        <v>Falla en lp de suscripción wap - header enrichment.</v>
      </c>
      <c r="J16" s="19" t="str">
        <f>IF(LEN(G16)=0,"",VLOOKUP(G16,Issues!A:D,4,FALSE))</f>
        <v>Critico</v>
      </c>
      <c r="K16" s="21" t="str">
        <f t="shared" si="2"/>
        <v>Issue</v>
      </c>
    </row>
    <row r="17" spans="1:11" x14ac:dyDescent="0.35">
      <c r="A17" s="23">
        <v>46150</v>
      </c>
      <c r="B17" s="19" t="str">
        <f t="shared" si="0"/>
        <v>mayo</v>
      </c>
      <c r="C17" s="19" t="str">
        <f t="shared" si="1"/>
        <v>2026</v>
      </c>
      <c r="D17" s="24" t="s">
        <v>208</v>
      </c>
      <c r="E17" s="25" t="s">
        <v>20</v>
      </c>
      <c r="F17" s="25" t="s">
        <v>188</v>
      </c>
      <c r="G17" s="24">
        <v>402</v>
      </c>
      <c r="H17" s="19" t="str">
        <f>IF(LEN(G17)=0,"",VLOOKUP(G17,Issues!A:D,2,FALSE))</f>
        <v>(400) Portales / Web-App</v>
      </c>
      <c r="I17" s="20" t="str">
        <f>IF(LEN(G17)=0,"",VLOOKUP(G17,Issues!A:D,3,FALSE))</f>
        <v>Portal / web-app caida.</v>
      </c>
      <c r="J17" s="19" t="str">
        <f>IF(LEN(G17)=0,"",VLOOKUP(G17,Issues!A:D,4,FALSE))</f>
        <v>Critico</v>
      </c>
      <c r="K17" s="21" t="str">
        <f t="shared" si="2"/>
        <v>Issue</v>
      </c>
    </row>
    <row r="18" spans="1:11" x14ac:dyDescent="0.35">
      <c r="A18" s="23">
        <v>46079</v>
      </c>
      <c r="B18" s="19" t="str">
        <f t="shared" si="0"/>
        <v>febrero</v>
      </c>
      <c r="C18" s="19" t="str">
        <f t="shared" si="1"/>
        <v>2026</v>
      </c>
      <c r="D18" s="24" t="s">
        <v>206</v>
      </c>
      <c r="E18" s="25" t="s">
        <v>19</v>
      </c>
      <c r="F18" s="25" t="s">
        <v>185</v>
      </c>
      <c r="G18" s="24">
        <v>104</v>
      </c>
      <c r="H18" s="19" t="str">
        <f>IF(LEN(G18)=0,"",VLOOKUP(G18,Issues!A:D,2,FALSE))</f>
        <v>(100)  Alta</v>
      </c>
      <c r="I18" s="20" t="str">
        <f>IF(LEN(G18)=0,"",VLOOKUP(G18,Issues!A:D,3,FALSE))</f>
        <v>No llega pin code.</v>
      </c>
      <c r="J18" s="19" t="str">
        <f>IF(LEN(G18)=0,"",VLOOKUP(G18,Issues!A:D,4,FALSE))</f>
        <v>Medio</v>
      </c>
      <c r="K18" s="21" t="str">
        <f t="shared" si="2"/>
        <v>Issue</v>
      </c>
    </row>
    <row r="19" spans="1:11" x14ac:dyDescent="0.35">
      <c r="A19" s="23">
        <v>46149</v>
      </c>
      <c r="B19" s="19" t="str">
        <f t="shared" si="0"/>
        <v>mayo</v>
      </c>
      <c r="C19" s="19" t="str">
        <f t="shared" si="1"/>
        <v>2026</v>
      </c>
      <c r="D19" s="24" t="s">
        <v>207</v>
      </c>
      <c r="E19" s="25" t="s">
        <v>14</v>
      </c>
      <c r="F19" s="25" t="s">
        <v>170</v>
      </c>
      <c r="G19" s="24">
        <v>113</v>
      </c>
      <c r="H19" s="19" t="str">
        <f>IF(LEN(G19)=0,"",VLOOKUP(G19,Issues!A:D,2,FALSE))</f>
        <v>(100)  Alta</v>
      </c>
      <c r="I19" s="20" t="str">
        <f>IF(LEN(G19)=0,"",VLOOKUP(G19,Issues!A:D,3,FALSE))</f>
        <v>Servicio suspendido.</v>
      </c>
      <c r="J19" s="19" t="str">
        <f>IF(LEN(G19)=0,"",VLOOKUP(G19,Issues!A:D,4,FALSE))</f>
        <v>Medio</v>
      </c>
      <c r="K19" s="21" t="str">
        <f t="shared" si="2"/>
        <v>Issue</v>
      </c>
    </row>
    <row r="20" spans="1:11" x14ac:dyDescent="0.35">
      <c r="A20" s="23">
        <v>46049</v>
      </c>
      <c r="B20" s="19" t="str">
        <f t="shared" si="0"/>
        <v>enero</v>
      </c>
      <c r="C20" s="19" t="str">
        <f t="shared" si="1"/>
        <v>2026</v>
      </c>
      <c r="D20" s="24" t="s">
        <v>208</v>
      </c>
      <c r="E20" s="25" t="s">
        <v>17</v>
      </c>
      <c r="F20" s="25" t="s">
        <v>179</v>
      </c>
      <c r="G20" s="24">
        <v>400</v>
      </c>
      <c r="H20" s="19" t="str">
        <f>IF(LEN(G20)=0,"",VLOOKUP(G20,Issues!A:D,2,FALSE))</f>
        <v>(400) Portales / Web-App</v>
      </c>
      <c r="I20" s="20" t="str">
        <f>IF(LEN(G20)=0,"",VLOOKUP(G20,Issues!A:D,3,FALSE))</f>
        <v>Portal evaluado con éxito.</v>
      </c>
      <c r="J20" s="19" t="str">
        <f>IF(LEN(G20)=0,"",VLOOKUP(G20,Issues!A:D,4,FALSE))</f>
        <v>Prueba OK</v>
      </c>
      <c r="K20" s="21" t="str">
        <f t="shared" si="2"/>
        <v>OK</v>
      </c>
    </row>
    <row r="21" spans="1:11" x14ac:dyDescent="0.35">
      <c r="A21" s="23">
        <v>46079</v>
      </c>
      <c r="B21" s="19" t="str">
        <f t="shared" si="0"/>
        <v>febrero</v>
      </c>
      <c r="C21" s="19" t="str">
        <f t="shared" si="1"/>
        <v>2026</v>
      </c>
      <c r="D21" s="24" t="s">
        <v>207</v>
      </c>
      <c r="E21" s="25" t="s">
        <v>25</v>
      </c>
      <c r="F21" s="25" t="s">
        <v>199</v>
      </c>
      <c r="G21" s="24">
        <v>507</v>
      </c>
      <c r="H21" s="19" t="str">
        <f>IF(LEN(G21)=0,"",VLOOKUP(G21,Issues!A:D,2,FALSE))</f>
        <v>(500) Baja / Cancelacion</v>
      </c>
      <c r="I21" s="20" t="str">
        <f>IF(LEN(G21)=0,"",VLOOKUP(G21,Issues!A:D,3,FALSE))</f>
        <v>No funciona la baja desde portal / web app.</v>
      </c>
      <c r="J21" s="19" t="str">
        <f>IF(LEN(G21)=0,"",VLOOKUP(G21,Issues!A:D,4,FALSE))</f>
        <v>Critico</v>
      </c>
      <c r="K21" s="21" t="str">
        <f t="shared" si="2"/>
        <v>Issue</v>
      </c>
    </row>
    <row r="22" spans="1:11" x14ac:dyDescent="0.35">
      <c r="A22" s="23">
        <v>46050</v>
      </c>
      <c r="B22" s="19" t="str">
        <f t="shared" si="0"/>
        <v>enero</v>
      </c>
      <c r="C22" s="19" t="str">
        <f t="shared" si="1"/>
        <v>2026</v>
      </c>
      <c r="D22" s="24" t="s">
        <v>206</v>
      </c>
      <c r="E22" s="25" t="s">
        <v>23</v>
      </c>
      <c r="F22" s="25" t="s">
        <v>196</v>
      </c>
      <c r="G22" s="24">
        <v>700</v>
      </c>
      <c r="H22" s="19" t="str">
        <f>IF(LEN(G22)=0,"",VLOOKUP(G22,Issues!A:D,2,FALSE))</f>
        <v>(700) Interaccion MO/MT (On Demand)</v>
      </c>
      <c r="I22" s="20" t="str">
        <f>IF(LEN(G22)=0,"",VLOOKUP(G22,Issues!A:D,3,FALSE))</f>
        <v>Flujo MO/MT con éxito.</v>
      </c>
      <c r="J22" s="19" t="str">
        <f>IF(LEN(G22)=0,"",VLOOKUP(G22,Issues!A:D,4,FALSE))</f>
        <v>Prueba OK</v>
      </c>
      <c r="K22" s="21" t="str">
        <f t="shared" si="2"/>
        <v>OK</v>
      </c>
    </row>
    <row r="23" spans="1:11" x14ac:dyDescent="0.35">
      <c r="A23" s="23">
        <v>46041</v>
      </c>
      <c r="B23" s="19" t="str">
        <f t="shared" si="0"/>
        <v>enero</v>
      </c>
      <c r="C23" s="19" t="str">
        <f t="shared" si="1"/>
        <v>2026</v>
      </c>
      <c r="D23" s="24" t="s">
        <v>207</v>
      </c>
      <c r="E23" s="25" t="s">
        <v>26</v>
      </c>
      <c r="F23" s="25" t="s">
        <v>156</v>
      </c>
      <c r="G23" s="24">
        <v>100</v>
      </c>
      <c r="H23" s="19" t="str">
        <f>IF(LEN(G23)=0,"",VLOOKUP(G23,Issues!A:D,2,FALSE))</f>
        <v>(100)  Alta</v>
      </c>
      <c r="I23" s="20" t="str">
        <f>IF(LEN(G23)=0,"",VLOOKUP(G23,Issues!A:D,3,FALSE))</f>
        <v>Alta con éxito.</v>
      </c>
      <c r="J23" s="19" t="str">
        <f>IF(LEN(G23)=0,"",VLOOKUP(G23,Issues!A:D,4,FALSE))</f>
        <v>Prueba OK</v>
      </c>
      <c r="K23" s="21" t="str">
        <f t="shared" si="2"/>
        <v>OK</v>
      </c>
    </row>
    <row r="24" spans="1:11" x14ac:dyDescent="0.35">
      <c r="A24" s="23">
        <v>46146</v>
      </c>
      <c r="B24" s="19" t="str">
        <f t="shared" si="0"/>
        <v>mayo</v>
      </c>
      <c r="C24" s="19" t="str">
        <f t="shared" si="1"/>
        <v>2026</v>
      </c>
      <c r="D24" s="24" t="s">
        <v>208</v>
      </c>
      <c r="E24" s="25" t="s">
        <v>20</v>
      </c>
      <c r="F24" s="25" t="s">
        <v>188</v>
      </c>
      <c r="G24" s="24">
        <v>406</v>
      </c>
      <c r="H24" s="19" t="str">
        <f>IF(LEN(G24)=0,"",VLOOKUP(G24,Issues!A:D,2,FALSE))</f>
        <v>(400) Portales / Web-App</v>
      </c>
      <c r="I24" s="20" t="str">
        <f>IF(LEN(G24)=0,"",VLOOKUP(G24,Issues!A:D,3,FALSE))</f>
        <v>No descarga contenidos - problemas con la descarga.</v>
      </c>
      <c r="J24" s="19" t="str">
        <f>IF(LEN(G24)=0,"",VLOOKUP(G24,Issues!A:D,4,FALSE))</f>
        <v>Critico</v>
      </c>
      <c r="K24" s="21" t="str">
        <f t="shared" si="2"/>
        <v>Issue</v>
      </c>
    </row>
    <row r="25" spans="1:11" x14ac:dyDescent="0.35">
      <c r="A25" s="23">
        <v>46029</v>
      </c>
      <c r="B25" s="19" t="str">
        <f t="shared" si="0"/>
        <v>enero</v>
      </c>
      <c r="C25" s="19" t="str">
        <f t="shared" si="1"/>
        <v>2026</v>
      </c>
      <c r="D25" s="24" t="s">
        <v>207</v>
      </c>
      <c r="E25" s="25" t="s">
        <v>16</v>
      </c>
      <c r="F25" s="25" t="s">
        <v>176</v>
      </c>
      <c r="G25" s="24">
        <v>401</v>
      </c>
      <c r="H25" s="19" t="str">
        <f>IF(LEN(G25)=0,"",VLOOKUP(G25,Issues!A:D,2,FALSE))</f>
        <v>(400) Portales / Web-App</v>
      </c>
      <c r="I25" s="20" t="str">
        <f>IF(LEN(G25)=0,"",VLOOKUP(G25,Issues!A:D,3,FALSE))</f>
        <v>Problemas con las credenciales y acceso a portal / web-app.</v>
      </c>
      <c r="J25" s="19" t="str">
        <f>IF(LEN(G25)=0,"",VLOOKUP(G25,Issues!A:D,4,FALSE))</f>
        <v>Critico</v>
      </c>
      <c r="K25" s="21" t="str">
        <f t="shared" si="2"/>
        <v>Issue</v>
      </c>
    </row>
    <row r="26" spans="1:11" x14ac:dyDescent="0.35">
      <c r="A26" s="23">
        <v>46050</v>
      </c>
      <c r="B26" s="19" t="str">
        <f t="shared" si="0"/>
        <v>enero</v>
      </c>
      <c r="C26" s="19" t="str">
        <f t="shared" si="1"/>
        <v>2026</v>
      </c>
      <c r="D26" s="24" t="s">
        <v>206</v>
      </c>
      <c r="E26" s="25" t="s">
        <v>17</v>
      </c>
      <c r="F26" s="25" t="s">
        <v>180</v>
      </c>
      <c r="G26" s="24">
        <v>506</v>
      </c>
      <c r="H26" s="19" t="str">
        <f>IF(LEN(G26)=0,"",VLOOKUP(G26,Issues!A:D,2,FALSE))</f>
        <v>(500) Baja / Cancelacion</v>
      </c>
      <c r="I26" s="20" t="str">
        <f>IF(LEN(G26)=0,"",VLOOKUP(G26,Issues!A:D,3,FALSE))</f>
        <v>No funciona la baja desde ivr.</v>
      </c>
      <c r="J26" s="19" t="str">
        <f>IF(LEN(G26)=0,"",VLOOKUP(G26,Issues!A:D,4,FALSE))</f>
        <v>Critico</v>
      </c>
      <c r="K26" s="21" t="str">
        <f t="shared" si="2"/>
        <v>Issue</v>
      </c>
    </row>
    <row r="27" spans="1:11" x14ac:dyDescent="0.35">
      <c r="A27" s="23">
        <v>46091</v>
      </c>
      <c r="B27" s="19" t="str">
        <f t="shared" si="0"/>
        <v>marzo</v>
      </c>
      <c r="C27" s="19" t="str">
        <f t="shared" si="1"/>
        <v>2026</v>
      </c>
      <c r="D27" s="24" t="s">
        <v>206</v>
      </c>
      <c r="E27" s="25" t="s">
        <v>22</v>
      </c>
      <c r="F27" s="25" t="s">
        <v>150</v>
      </c>
      <c r="G27" s="24">
        <v>100</v>
      </c>
      <c r="H27" s="19" t="str">
        <f>IF(LEN(G27)=0,"",VLOOKUP(G27,Issues!A:D,2,FALSE))</f>
        <v>(100)  Alta</v>
      </c>
      <c r="I27" s="20" t="str">
        <f>IF(LEN(G27)=0,"",VLOOKUP(G27,Issues!A:D,3,FALSE))</f>
        <v>Alta con éxito.</v>
      </c>
      <c r="J27" s="19" t="str">
        <f>IF(LEN(G27)=0,"",VLOOKUP(G27,Issues!A:D,4,FALSE))</f>
        <v>Prueba OK</v>
      </c>
      <c r="K27" s="21" t="str">
        <f t="shared" si="2"/>
        <v>OK</v>
      </c>
    </row>
    <row r="28" spans="1:11" x14ac:dyDescent="0.35">
      <c r="A28" s="23">
        <v>46024</v>
      </c>
      <c r="B28" s="19" t="str">
        <f t="shared" si="0"/>
        <v>enero</v>
      </c>
      <c r="C28" s="19" t="str">
        <f t="shared" si="1"/>
        <v>2026</v>
      </c>
      <c r="D28" s="24" t="s">
        <v>206</v>
      </c>
      <c r="E28" s="25" t="s">
        <v>27</v>
      </c>
      <c r="F28" s="25" t="s">
        <v>200</v>
      </c>
      <c r="G28" s="24">
        <v>800</v>
      </c>
      <c r="H28" s="19" t="str">
        <f>IF(LEN(G28)=0,"",VLOOKUP(G28,Issues!A:D,2,FALSE))</f>
        <v>(800) Politicas especiales operadores</v>
      </c>
      <c r="I28" s="20" t="str">
        <f>IF(LEN(G28)=0,"",VLOOKUP(G28,Issues!A:D,3,FALSE))</f>
        <v>Politicas de los operadores cumplidas.</v>
      </c>
      <c r="J28" s="19" t="str">
        <f>IF(LEN(G28)=0,"",VLOOKUP(G28,Issues!A:D,4,FALSE))</f>
        <v>Prueba OK</v>
      </c>
      <c r="K28" s="21" t="str">
        <f t="shared" si="2"/>
        <v>OK</v>
      </c>
    </row>
    <row r="29" spans="1:11" x14ac:dyDescent="0.35">
      <c r="A29" s="23">
        <v>46089</v>
      </c>
      <c r="B29" s="19" t="str">
        <f t="shared" si="0"/>
        <v>marzo</v>
      </c>
      <c r="C29" s="19" t="str">
        <f t="shared" si="1"/>
        <v>2026</v>
      </c>
      <c r="D29" s="24" t="s">
        <v>207</v>
      </c>
      <c r="E29" s="25" t="s">
        <v>25</v>
      </c>
      <c r="F29" s="25" t="s">
        <v>198</v>
      </c>
      <c r="G29" s="24">
        <v>101</v>
      </c>
      <c r="H29" s="19" t="str">
        <f>IF(LEN(G29)=0,"",VLOOKUP(G29,Issues!A:D,2,FALSE))</f>
        <v>(100)  Alta</v>
      </c>
      <c r="I29" s="20" t="str">
        <f>IF(LEN(G29)=0,"",VLOOKUP(G29,Issues!A:D,3,FALSE))</f>
        <v>No se genero el alta - no hay respuesta al kw.</v>
      </c>
      <c r="J29" s="19" t="str">
        <f>IF(LEN(G29)=0,"",VLOOKUP(G29,Issues!A:D,4,FALSE))</f>
        <v>Critico</v>
      </c>
      <c r="K29" s="21" t="str">
        <f t="shared" si="2"/>
        <v>Issue</v>
      </c>
    </row>
    <row r="30" spans="1:11" x14ac:dyDescent="0.35">
      <c r="A30" s="23">
        <v>46023</v>
      </c>
      <c r="B30" s="19" t="str">
        <f t="shared" si="0"/>
        <v>enero</v>
      </c>
      <c r="C30" s="19" t="str">
        <f t="shared" si="1"/>
        <v>2026</v>
      </c>
      <c r="D30" s="24" t="s">
        <v>207</v>
      </c>
      <c r="E30" s="25" t="s">
        <v>27</v>
      </c>
      <c r="F30" s="25" t="s">
        <v>201</v>
      </c>
      <c r="G30" s="24">
        <v>403</v>
      </c>
      <c r="H30" s="19" t="str">
        <f>IF(LEN(G30)=0,"",VLOOKUP(G30,Issues!A:D,2,FALSE))</f>
        <v>(400) Portales / Web-App</v>
      </c>
      <c r="I30" s="20" t="str">
        <f>IF(LEN(G30)=0,"",VLOOKUP(G30,Issues!A:D,3,FALSE))</f>
        <v>Portal desactualizado.</v>
      </c>
      <c r="J30" s="19" t="str">
        <f>IF(LEN(G30)=0,"",VLOOKUP(G30,Issues!A:D,4,FALSE))</f>
        <v>Medio</v>
      </c>
      <c r="K30" s="21" t="str">
        <f t="shared" si="2"/>
        <v>Issue</v>
      </c>
    </row>
    <row r="31" spans="1:11" x14ac:dyDescent="0.35">
      <c r="A31" s="23">
        <v>46154</v>
      </c>
      <c r="B31" s="19" t="str">
        <f t="shared" si="0"/>
        <v>mayo</v>
      </c>
      <c r="C31" s="19" t="str">
        <f t="shared" si="1"/>
        <v>2026</v>
      </c>
      <c r="D31" s="24" t="s">
        <v>206</v>
      </c>
      <c r="E31" s="25" t="s">
        <v>25</v>
      </c>
      <c r="F31" s="25" t="s">
        <v>198</v>
      </c>
      <c r="G31" s="24">
        <v>300</v>
      </c>
      <c r="H31" s="19" t="str">
        <f>IF(LEN(G31)=0,"",VLOOKUP(G31,Issues!A:D,2,FALSE))</f>
        <v>(300) Cobros</v>
      </c>
      <c r="I31" s="20" t="str">
        <f>IF(LEN(G31)=0,"",VLOOKUP(G31,Issues!A:D,3,FALSE))</f>
        <v>Cobro en valor y forma correcto.</v>
      </c>
      <c r="J31" s="19" t="str">
        <f>IF(LEN(G31)=0,"",VLOOKUP(G31,Issues!A:D,4,FALSE))</f>
        <v>Prueba OK</v>
      </c>
      <c r="K31" s="21" t="str">
        <f t="shared" si="2"/>
        <v>OK</v>
      </c>
    </row>
    <row r="32" spans="1:11" x14ac:dyDescent="0.35">
      <c r="A32" s="23">
        <v>46123</v>
      </c>
      <c r="B32" s="19" t="str">
        <f t="shared" si="0"/>
        <v>abril</v>
      </c>
      <c r="C32" s="19" t="str">
        <f t="shared" si="1"/>
        <v>2026</v>
      </c>
      <c r="D32" s="24" t="s">
        <v>209</v>
      </c>
      <c r="E32" s="25" t="s">
        <v>23</v>
      </c>
      <c r="F32" s="25" t="s">
        <v>194</v>
      </c>
      <c r="G32" s="24">
        <v>300</v>
      </c>
      <c r="H32" s="19" t="str">
        <f>IF(LEN(G32)=0,"",VLOOKUP(G32,Issues!A:D,2,FALSE))</f>
        <v>(300) Cobros</v>
      </c>
      <c r="I32" s="20" t="str">
        <f>IF(LEN(G32)=0,"",VLOOKUP(G32,Issues!A:D,3,FALSE))</f>
        <v>Cobro en valor y forma correcto.</v>
      </c>
      <c r="J32" s="19" t="str">
        <f>IF(LEN(G32)=0,"",VLOOKUP(G32,Issues!A:D,4,FALSE))</f>
        <v>Prueba OK</v>
      </c>
      <c r="K32" s="21" t="str">
        <f t="shared" si="2"/>
        <v>OK</v>
      </c>
    </row>
    <row r="33" spans="1:11" x14ac:dyDescent="0.35">
      <c r="A33" s="23">
        <v>46126</v>
      </c>
      <c r="B33" s="19" t="str">
        <f t="shared" si="0"/>
        <v>abril</v>
      </c>
      <c r="C33" s="19" t="str">
        <f t="shared" si="1"/>
        <v>2026</v>
      </c>
      <c r="D33" s="24" t="s">
        <v>206</v>
      </c>
      <c r="E33" s="25" t="s">
        <v>20</v>
      </c>
      <c r="F33" s="25" t="s">
        <v>188</v>
      </c>
      <c r="G33" s="24">
        <v>100</v>
      </c>
      <c r="H33" s="19" t="str">
        <f>IF(LEN(G33)=0,"",VLOOKUP(G33,Issues!A:D,2,FALSE))</f>
        <v>(100)  Alta</v>
      </c>
      <c r="I33" s="20" t="str">
        <f>IF(LEN(G33)=0,"",VLOOKUP(G33,Issues!A:D,3,FALSE))</f>
        <v>Alta con éxito.</v>
      </c>
      <c r="J33" s="19" t="str">
        <f>IF(LEN(G33)=0,"",VLOOKUP(G33,Issues!A:D,4,FALSE))</f>
        <v>Prueba OK</v>
      </c>
      <c r="K33" s="21" t="str">
        <f t="shared" si="2"/>
        <v>OK</v>
      </c>
    </row>
    <row r="34" spans="1:11" x14ac:dyDescent="0.35">
      <c r="A34" s="23">
        <v>46053</v>
      </c>
      <c r="B34" s="19" t="str">
        <f t="shared" si="0"/>
        <v>enero</v>
      </c>
      <c r="C34" s="19" t="str">
        <f t="shared" si="1"/>
        <v>2026</v>
      </c>
      <c r="D34" s="24" t="s">
        <v>206</v>
      </c>
      <c r="E34" s="25" t="s">
        <v>23</v>
      </c>
      <c r="F34" s="25" t="s">
        <v>195</v>
      </c>
      <c r="G34" s="24">
        <v>204</v>
      </c>
      <c r="H34" s="19" t="str">
        <f>IF(LEN(G34)=0,"",VLOOKUP(G34,Issues!A:D,2,FALSE))</f>
        <v>(200) Contenidos</v>
      </c>
      <c r="I34" s="20" t="str">
        <f>IF(LEN(G34)=0,"",VLOOKUP(G34,Issues!A:D,3,FALSE))</f>
        <v>Error/inconsistencia en t&amp;c en sms.</v>
      </c>
      <c r="J34" s="19" t="str">
        <f>IF(LEN(G34)=0,"",VLOOKUP(G34,Issues!A:D,4,FALSE))</f>
        <v>Critico</v>
      </c>
      <c r="K34" s="21" t="str">
        <f t="shared" si="2"/>
        <v>Issue</v>
      </c>
    </row>
    <row r="35" spans="1:11" x14ac:dyDescent="0.35">
      <c r="A35" s="23">
        <v>46110</v>
      </c>
      <c r="B35" s="19" t="str">
        <f t="shared" si="0"/>
        <v>marzo</v>
      </c>
      <c r="C35" s="19" t="str">
        <f t="shared" si="1"/>
        <v>2026</v>
      </c>
      <c r="D35" s="24" t="s">
        <v>206</v>
      </c>
      <c r="E35" s="25" t="s">
        <v>19</v>
      </c>
      <c r="F35" s="25" t="s">
        <v>185</v>
      </c>
      <c r="G35" s="24">
        <v>210</v>
      </c>
      <c r="H35" s="19" t="str">
        <f>IF(LEN(G35)=0,"",VLOOKUP(G35,Issues!A:D,2,FALSE))</f>
        <v>(200) Contenidos</v>
      </c>
      <c r="I35" s="20" t="str">
        <f>IF(LEN(G35)=0,"",VLOOKUP(G35,Issues!A:D,3,FALSE))</f>
        <v>Contenido no apropiado - fuera de las politicas del operador.</v>
      </c>
      <c r="J35" s="19" t="str">
        <f>IF(LEN(G35)=0,"",VLOOKUP(G35,Issues!A:D,4,FALSE))</f>
        <v>Critico</v>
      </c>
      <c r="K35" s="21" t="str">
        <f t="shared" si="2"/>
        <v>Issue</v>
      </c>
    </row>
    <row r="36" spans="1:11" x14ac:dyDescent="0.35">
      <c r="A36" s="23">
        <v>46156</v>
      </c>
      <c r="B36" s="19" t="str">
        <f t="shared" si="0"/>
        <v>mayo</v>
      </c>
      <c r="C36" s="19" t="str">
        <f t="shared" si="1"/>
        <v>2026</v>
      </c>
      <c r="D36" s="24" t="s">
        <v>207</v>
      </c>
      <c r="E36" s="25" t="s">
        <v>26</v>
      </c>
      <c r="F36" s="25" t="s">
        <v>152</v>
      </c>
      <c r="G36" s="24">
        <v>505</v>
      </c>
      <c r="H36" s="19" t="str">
        <f>IF(LEN(G36)=0,"",VLOOKUP(G36,Issues!A:D,2,FALSE))</f>
        <v>(500) Baja / Cancelacion</v>
      </c>
      <c r="I36" s="20" t="str">
        <f>IF(LEN(G36)=0,"",VLOOKUP(G36,Issues!A:D,3,FALSE))</f>
        <v>No funciona la baja desde tienda.</v>
      </c>
      <c r="J36" s="19" t="str">
        <f>IF(LEN(G36)=0,"",VLOOKUP(G36,Issues!A:D,4,FALSE))</f>
        <v>Critico</v>
      </c>
      <c r="K36" s="21" t="str">
        <f t="shared" si="2"/>
        <v>Issue</v>
      </c>
    </row>
    <row r="37" spans="1:11" x14ac:dyDescent="0.35">
      <c r="A37" s="23">
        <v>46151</v>
      </c>
      <c r="B37" s="19" t="str">
        <f t="shared" si="0"/>
        <v>mayo</v>
      </c>
      <c r="C37" s="19" t="str">
        <f t="shared" si="1"/>
        <v>2026</v>
      </c>
      <c r="D37" s="24" t="s">
        <v>207</v>
      </c>
      <c r="E37" s="25" t="s">
        <v>23</v>
      </c>
      <c r="F37" s="25" t="s">
        <v>196</v>
      </c>
      <c r="G37" s="24">
        <v>100</v>
      </c>
      <c r="H37" s="19" t="str">
        <f>IF(LEN(G37)=0,"",VLOOKUP(G37,Issues!A:D,2,FALSE))</f>
        <v>(100)  Alta</v>
      </c>
      <c r="I37" s="20" t="str">
        <f>IF(LEN(G37)=0,"",VLOOKUP(G37,Issues!A:D,3,FALSE))</f>
        <v>Alta con éxito.</v>
      </c>
      <c r="J37" s="19" t="str">
        <f>IF(LEN(G37)=0,"",VLOOKUP(G37,Issues!A:D,4,FALSE))</f>
        <v>Prueba OK</v>
      </c>
      <c r="K37" s="21" t="str">
        <f t="shared" si="2"/>
        <v>OK</v>
      </c>
    </row>
    <row r="38" spans="1:11" x14ac:dyDescent="0.35">
      <c r="A38" s="23">
        <v>46151</v>
      </c>
      <c r="B38" s="19" t="str">
        <f t="shared" si="0"/>
        <v>mayo</v>
      </c>
      <c r="C38" s="19" t="str">
        <f t="shared" si="1"/>
        <v>2026</v>
      </c>
      <c r="D38" s="24" t="s">
        <v>208</v>
      </c>
      <c r="E38" s="25" t="s">
        <v>14</v>
      </c>
      <c r="F38" s="25" t="s">
        <v>172</v>
      </c>
      <c r="G38" s="24">
        <v>703</v>
      </c>
      <c r="H38" s="19" t="str">
        <f>IF(LEN(G38)=0,"",VLOOKUP(G38,Issues!A:D,2,FALSE))</f>
        <v>(700) Interaccion MO/MT (On Demand)</v>
      </c>
      <c r="I38" s="20" t="str">
        <f>IF(LEN(G38)=0,"",VLOOKUP(G38,Issues!A:D,3,FALSE))</f>
        <v>Fallas en la interaccion mo/mt.</v>
      </c>
      <c r="J38" s="19" t="str">
        <f>IF(LEN(G38)=0,"",VLOOKUP(G38,Issues!A:D,4,FALSE))</f>
        <v>Critico</v>
      </c>
      <c r="K38" s="21" t="str">
        <f t="shared" si="2"/>
        <v>Issue</v>
      </c>
    </row>
    <row r="39" spans="1:11" x14ac:dyDescent="0.35">
      <c r="A39" s="23">
        <v>46109</v>
      </c>
      <c r="B39" s="19" t="str">
        <f t="shared" si="0"/>
        <v>marzo</v>
      </c>
      <c r="C39" s="19" t="str">
        <f t="shared" si="1"/>
        <v>2026</v>
      </c>
      <c r="D39" s="24" t="s">
        <v>207</v>
      </c>
      <c r="E39" s="25" t="s">
        <v>11</v>
      </c>
      <c r="F39" s="25" t="s">
        <v>165</v>
      </c>
      <c r="G39" s="24">
        <v>800</v>
      </c>
      <c r="H39" s="19" t="str">
        <f>IF(LEN(G39)=0,"",VLOOKUP(G39,Issues!A:D,2,FALSE))</f>
        <v>(800) Politicas especiales operadores</v>
      </c>
      <c r="I39" s="20" t="str">
        <f>IF(LEN(G39)=0,"",VLOOKUP(G39,Issues!A:D,3,FALSE))</f>
        <v>Politicas de los operadores cumplidas.</v>
      </c>
      <c r="J39" s="19" t="str">
        <f>IF(LEN(G39)=0,"",VLOOKUP(G39,Issues!A:D,4,FALSE))</f>
        <v>Prueba OK</v>
      </c>
      <c r="K39" s="21" t="str">
        <f t="shared" si="2"/>
        <v>OK</v>
      </c>
    </row>
    <row r="40" spans="1:11" x14ac:dyDescent="0.35">
      <c r="A40" s="23">
        <v>46073</v>
      </c>
      <c r="B40" s="19" t="str">
        <f t="shared" si="0"/>
        <v>febrero</v>
      </c>
      <c r="C40" s="19" t="str">
        <f t="shared" si="1"/>
        <v>2026</v>
      </c>
      <c r="D40" s="24" t="s">
        <v>206</v>
      </c>
      <c r="E40" s="25" t="s">
        <v>18</v>
      </c>
      <c r="F40" s="25" t="s">
        <v>182</v>
      </c>
      <c r="G40" s="24">
        <v>404</v>
      </c>
      <c r="H40" s="19" t="str">
        <f>IF(LEN(G40)=0,"",VLOOKUP(G40,Issues!A:D,2,FALSE))</f>
        <v>(400) Portales / Web-App</v>
      </c>
      <c r="I40" s="20" t="str">
        <f>IF(LEN(G40)=0,"",VLOOKUP(G40,Issues!A:D,3,FALSE))</f>
        <v>No cumple las politicas de estructura del operador.</v>
      </c>
      <c r="J40" s="19" t="str">
        <f>IF(LEN(G40)=0,"",VLOOKUP(G40,Issues!A:D,4,FALSE))</f>
        <v>Critico</v>
      </c>
      <c r="K40" s="21" t="str">
        <f t="shared" si="2"/>
        <v>Issue</v>
      </c>
    </row>
    <row r="41" spans="1:11" x14ac:dyDescent="0.35">
      <c r="A41" s="23">
        <v>46074</v>
      </c>
      <c r="B41" s="19" t="str">
        <f t="shared" si="0"/>
        <v>febrero</v>
      </c>
      <c r="C41" s="19" t="str">
        <f t="shared" si="1"/>
        <v>2026</v>
      </c>
      <c r="D41" s="24" t="s">
        <v>207</v>
      </c>
      <c r="E41" s="25" t="s">
        <v>24</v>
      </c>
      <c r="F41" s="25" t="s">
        <v>155</v>
      </c>
      <c r="G41" s="24">
        <v>100</v>
      </c>
      <c r="H41" s="19" t="str">
        <f>IF(LEN(G41)=0,"",VLOOKUP(G41,Issues!A:D,2,FALSE))</f>
        <v>(100)  Alta</v>
      </c>
      <c r="I41" s="20" t="str">
        <f>IF(LEN(G41)=0,"",VLOOKUP(G41,Issues!A:D,3,FALSE))</f>
        <v>Alta con éxito.</v>
      </c>
      <c r="J41" s="19" t="str">
        <f>IF(LEN(G41)=0,"",VLOOKUP(G41,Issues!A:D,4,FALSE))</f>
        <v>Prueba OK</v>
      </c>
      <c r="K41" s="21" t="str">
        <f t="shared" si="2"/>
        <v>OK</v>
      </c>
    </row>
    <row r="42" spans="1:11" x14ac:dyDescent="0.35">
      <c r="A42" s="23">
        <v>46088</v>
      </c>
      <c r="B42" s="19" t="str">
        <f t="shared" si="0"/>
        <v>marzo</v>
      </c>
      <c r="C42" s="19" t="str">
        <f t="shared" si="1"/>
        <v>2026</v>
      </c>
      <c r="D42" s="24" t="s">
        <v>204</v>
      </c>
      <c r="E42" s="25" t="s">
        <v>26</v>
      </c>
      <c r="F42" s="25" t="s">
        <v>160</v>
      </c>
      <c r="G42" s="24">
        <v>802</v>
      </c>
      <c r="H42" s="19" t="str">
        <f>IF(LEN(G42)=0,"",VLOOKUP(G42,Issues!A:D,2,FALSE))</f>
        <v>(800) Politicas especiales operadores</v>
      </c>
      <c r="I42" s="20" t="str">
        <f>IF(LEN(G42)=0,"",VLOOKUP(G42,Issues!A:D,3,FALSE))</f>
        <v>Falla en colilla legal con info del cp.</v>
      </c>
      <c r="J42" s="19" t="str">
        <f>IF(LEN(G42)=0,"",VLOOKUP(G42,Issues!A:D,4,FALSE))</f>
        <v>Critico</v>
      </c>
      <c r="K42" s="21" t="str">
        <f t="shared" si="2"/>
        <v>Issue</v>
      </c>
    </row>
    <row r="43" spans="1:11" x14ac:dyDescent="0.35">
      <c r="A43" s="23">
        <v>46097</v>
      </c>
      <c r="B43" s="19" t="str">
        <f t="shared" si="0"/>
        <v>marzo</v>
      </c>
      <c r="C43" s="19" t="str">
        <f t="shared" si="1"/>
        <v>2026</v>
      </c>
      <c r="D43" s="24" t="s">
        <v>207</v>
      </c>
      <c r="E43" s="25" t="s">
        <v>21</v>
      </c>
      <c r="F43" s="25" t="s">
        <v>193</v>
      </c>
      <c r="G43" s="24">
        <v>307</v>
      </c>
      <c r="H43" s="19" t="str">
        <f>IF(LEN(G43)=0,"",VLOOKUP(G43,Issues!A:D,2,FALSE))</f>
        <v>(300) Cobros</v>
      </c>
      <c r="I43" s="20" t="str">
        <f>IF(LEN(G43)=0,"",VLOOKUP(G43,Issues!A:D,3,FALSE))</f>
        <v>Inconsistencias con el cobro escalonado.</v>
      </c>
      <c r="J43" s="19" t="str">
        <f>IF(LEN(G43)=0,"",VLOOKUP(G43,Issues!A:D,4,FALSE))</f>
        <v>Critico</v>
      </c>
      <c r="K43" s="21" t="str">
        <f t="shared" si="2"/>
        <v>Issue</v>
      </c>
    </row>
    <row r="44" spans="1:11" x14ac:dyDescent="0.35">
      <c r="A44" s="23">
        <v>46156</v>
      </c>
      <c r="B44" s="19" t="str">
        <f t="shared" si="0"/>
        <v>mayo</v>
      </c>
      <c r="C44" s="19" t="str">
        <f t="shared" si="1"/>
        <v>2026</v>
      </c>
      <c r="D44" s="24" t="s">
        <v>206</v>
      </c>
      <c r="E44" s="25" t="s">
        <v>13</v>
      </c>
      <c r="F44" s="25" t="s">
        <v>157</v>
      </c>
      <c r="G44" s="24">
        <v>300</v>
      </c>
      <c r="H44" s="19" t="str">
        <f>IF(LEN(G44)=0,"",VLOOKUP(G44,Issues!A:D,2,FALSE))</f>
        <v>(300) Cobros</v>
      </c>
      <c r="I44" s="20" t="str">
        <f>IF(LEN(G44)=0,"",VLOOKUP(G44,Issues!A:D,3,FALSE))</f>
        <v>Cobro en valor y forma correcto.</v>
      </c>
      <c r="J44" s="19" t="str">
        <f>IF(LEN(G44)=0,"",VLOOKUP(G44,Issues!A:D,4,FALSE))</f>
        <v>Prueba OK</v>
      </c>
      <c r="K44" s="21" t="str">
        <f t="shared" si="2"/>
        <v>OK</v>
      </c>
    </row>
    <row r="45" spans="1:11" x14ac:dyDescent="0.35">
      <c r="A45" s="23">
        <v>46080</v>
      </c>
      <c r="B45" s="19" t="str">
        <f t="shared" si="0"/>
        <v>febrero</v>
      </c>
      <c r="C45" s="19" t="str">
        <f t="shared" si="1"/>
        <v>2026</v>
      </c>
      <c r="D45" s="24" t="s">
        <v>206</v>
      </c>
      <c r="E45" s="25" t="s">
        <v>22</v>
      </c>
      <c r="F45" s="25" t="s">
        <v>150</v>
      </c>
      <c r="G45" s="24">
        <v>408</v>
      </c>
      <c r="H45" s="19" t="str">
        <f>IF(LEN(G45)=0,"",VLOOKUP(G45,Issues!A:D,2,FALSE))</f>
        <v>(400) Portales / Web-App</v>
      </c>
      <c r="I45" s="20" t="str">
        <f>IF(LEN(G45)=0,"",VLOOKUP(G45,Issues!A:D,3,FALSE))</f>
        <v>Inconsistencias en los t&amp;c del portal / web-app.</v>
      </c>
      <c r="J45" s="19" t="str">
        <f>IF(LEN(G45)=0,"",VLOOKUP(G45,Issues!A:D,4,FALSE))</f>
        <v>Critico</v>
      </c>
      <c r="K45" s="21" t="str">
        <f t="shared" si="2"/>
        <v>Issue</v>
      </c>
    </row>
    <row r="46" spans="1:11" x14ac:dyDescent="0.35">
      <c r="A46" s="23">
        <v>46042</v>
      </c>
      <c r="B46" s="19" t="str">
        <f t="shared" si="0"/>
        <v>enero</v>
      </c>
      <c r="C46" s="19" t="str">
        <f t="shared" si="1"/>
        <v>2026</v>
      </c>
      <c r="D46" s="24" t="s">
        <v>206</v>
      </c>
      <c r="E46" s="25" t="s">
        <v>20</v>
      </c>
      <c r="F46" s="25" t="s">
        <v>189</v>
      </c>
      <c r="G46" s="24">
        <v>100</v>
      </c>
      <c r="H46" s="19" t="str">
        <f>IF(LEN(G46)=0,"",VLOOKUP(G46,Issues!A:D,2,FALSE))</f>
        <v>(100)  Alta</v>
      </c>
      <c r="I46" s="20" t="str">
        <f>IF(LEN(G46)=0,"",VLOOKUP(G46,Issues!A:D,3,FALSE))</f>
        <v>Alta con éxito.</v>
      </c>
      <c r="J46" s="19" t="str">
        <f>IF(LEN(G46)=0,"",VLOOKUP(G46,Issues!A:D,4,FALSE))</f>
        <v>Prueba OK</v>
      </c>
      <c r="K46" s="21" t="str">
        <f t="shared" si="2"/>
        <v>OK</v>
      </c>
    </row>
    <row r="47" spans="1:11" x14ac:dyDescent="0.35">
      <c r="A47" s="23">
        <v>46156</v>
      </c>
      <c r="B47" s="19" t="str">
        <f t="shared" si="0"/>
        <v>mayo</v>
      </c>
      <c r="C47" s="19" t="str">
        <f t="shared" si="1"/>
        <v>2026</v>
      </c>
      <c r="D47" s="24" t="s">
        <v>210</v>
      </c>
      <c r="E47" s="25" t="s">
        <v>18</v>
      </c>
      <c r="F47" s="25" t="s">
        <v>183</v>
      </c>
      <c r="G47" s="24">
        <v>502</v>
      </c>
      <c r="H47" s="19" t="str">
        <f>IF(LEN(G47)=0,"",VLOOKUP(G47,Issues!A:D,2,FALSE))</f>
        <v>(500) Baja / Cancelacion</v>
      </c>
      <c r="I47" s="20" t="str">
        <f>IF(LEN(G47)=0,"",VLOOKUP(G47,Issues!A:D,3,FALSE))</f>
        <v>No entrega el mt de baja.</v>
      </c>
      <c r="J47" s="19" t="str">
        <f>IF(LEN(G47)=0,"",VLOOKUP(G47,Issues!A:D,4,FALSE))</f>
        <v>Critico</v>
      </c>
      <c r="K47" s="21" t="str">
        <f t="shared" si="2"/>
        <v>Issue</v>
      </c>
    </row>
    <row r="48" spans="1:11" x14ac:dyDescent="0.35">
      <c r="A48" s="23">
        <v>46080</v>
      </c>
      <c r="B48" s="19" t="str">
        <f t="shared" si="0"/>
        <v>febrero</v>
      </c>
      <c r="C48" s="19" t="str">
        <f t="shared" si="1"/>
        <v>2026</v>
      </c>
      <c r="D48" s="24" t="s">
        <v>208</v>
      </c>
      <c r="E48" s="25" t="s">
        <v>10</v>
      </c>
      <c r="F48" s="25" t="s">
        <v>162</v>
      </c>
      <c r="G48" s="24">
        <v>801</v>
      </c>
      <c r="H48" s="19" t="str">
        <f>IF(LEN(G48)=0,"",VLOOKUP(G48,Issues!A:D,2,FALSE))</f>
        <v>(800) Politicas especiales operadores</v>
      </c>
      <c r="I48" s="20" t="str">
        <f>IF(LEN(G48)=0,"",VLOOKUP(G48,Issues!A:D,3,FALSE))</f>
        <v>No da respuesta a kw regulatorio.</v>
      </c>
      <c r="J48" s="19" t="str">
        <f>IF(LEN(G48)=0,"",VLOOKUP(G48,Issues!A:D,4,FALSE))</f>
        <v>Critico</v>
      </c>
      <c r="K48" s="21" t="str">
        <f t="shared" si="2"/>
        <v>Issue</v>
      </c>
    </row>
    <row r="49" spans="1:11" x14ac:dyDescent="0.35">
      <c r="A49" s="23">
        <v>46135</v>
      </c>
      <c r="B49" s="19" t="str">
        <f t="shared" si="0"/>
        <v>abril</v>
      </c>
      <c r="C49" s="19" t="str">
        <f t="shared" si="1"/>
        <v>2026</v>
      </c>
      <c r="D49" s="24" t="s">
        <v>207</v>
      </c>
      <c r="E49" s="25" t="s">
        <v>18</v>
      </c>
      <c r="F49" s="25" t="s">
        <v>184</v>
      </c>
      <c r="G49" s="24">
        <v>400</v>
      </c>
      <c r="H49" s="19" t="str">
        <f>IF(LEN(G49)=0,"",VLOOKUP(G49,Issues!A:D,2,FALSE))</f>
        <v>(400) Portales / Web-App</v>
      </c>
      <c r="I49" s="20" t="str">
        <f>IF(LEN(G49)=0,"",VLOOKUP(G49,Issues!A:D,3,FALSE))</f>
        <v>Portal evaluado con éxito.</v>
      </c>
      <c r="J49" s="19" t="str">
        <f>IF(LEN(G49)=0,"",VLOOKUP(G49,Issues!A:D,4,FALSE))</f>
        <v>Prueba OK</v>
      </c>
      <c r="K49" s="21" t="str">
        <f t="shared" si="2"/>
        <v>OK</v>
      </c>
    </row>
    <row r="50" spans="1:11" x14ac:dyDescent="0.35">
      <c r="A50" s="23">
        <v>46061</v>
      </c>
      <c r="B50" s="19" t="str">
        <f t="shared" si="0"/>
        <v>febrero</v>
      </c>
      <c r="C50" s="19" t="str">
        <f t="shared" si="1"/>
        <v>2026</v>
      </c>
      <c r="D50" s="24" t="s">
        <v>206</v>
      </c>
      <c r="E50" s="25" t="s">
        <v>15</v>
      </c>
      <c r="F50" s="25" t="s">
        <v>174</v>
      </c>
      <c r="G50" s="24">
        <v>203</v>
      </c>
      <c r="H50" s="19" t="str">
        <f>IF(LEN(G50)=0,"",VLOOKUP(G50,Issues!A:D,2,FALSE))</f>
        <v>(200) Contenidos</v>
      </c>
      <c r="I50" s="20" t="str">
        <f>IF(LEN(G50)=0,"",VLOOKUP(G50,Issues!A:D,3,FALSE))</f>
        <v>Entrega de mensajeria sms con delay.</v>
      </c>
      <c r="J50" s="19" t="str">
        <f>IF(LEN(G50)=0,"",VLOOKUP(G50,Issues!A:D,4,FALSE))</f>
        <v>Bajo</v>
      </c>
      <c r="K50" s="21" t="str">
        <f t="shared" si="2"/>
        <v>Issue</v>
      </c>
    </row>
    <row r="51" spans="1:11" x14ac:dyDescent="0.35">
      <c r="A51" s="23">
        <v>46142</v>
      </c>
      <c r="B51" s="19" t="str">
        <f t="shared" si="0"/>
        <v>abril</v>
      </c>
      <c r="C51" s="19" t="str">
        <f t="shared" si="1"/>
        <v>2026</v>
      </c>
      <c r="D51" s="24" t="s">
        <v>205</v>
      </c>
      <c r="E51" s="25" t="s">
        <v>15</v>
      </c>
      <c r="F51" s="25" t="s">
        <v>173</v>
      </c>
      <c r="G51" s="24">
        <v>210</v>
      </c>
      <c r="H51" s="19" t="str">
        <f>IF(LEN(G51)=0,"",VLOOKUP(G51,Issues!A:D,2,FALSE))</f>
        <v>(200) Contenidos</v>
      </c>
      <c r="I51" s="20" t="str">
        <f>IF(LEN(G51)=0,"",VLOOKUP(G51,Issues!A:D,3,FALSE))</f>
        <v>Contenido no apropiado - fuera de las politicas del operador.</v>
      </c>
      <c r="J51" s="19" t="str">
        <f>IF(LEN(G51)=0,"",VLOOKUP(G51,Issues!A:D,4,FALSE))</f>
        <v>Critico</v>
      </c>
      <c r="K51" s="21" t="str">
        <f t="shared" si="2"/>
        <v>Issue</v>
      </c>
    </row>
    <row r="52" spans="1:11" x14ac:dyDescent="0.35">
      <c r="A52" s="23">
        <v>46099</v>
      </c>
      <c r="B52" s="19" t="str">
        <f t="shared" si="0"/>
        <v>marzo</v>
      </c>
      <c r="C52" s="19" t="str">
        <f t="shared" si="1"/>
        <v>2026</v>
      </c>
      <c r="D52" s="24" t="s">
        <v>206</v>
      </c>
      <c r="E52" s="25" t="s">
        <v>20</v>
      </c>
      <c r="F52" s="25" t="s">
        <v>189</v>
      </c>
      <c r="G52" s="24">
        <v>201</v>
      </c>
      <c r="H52" s="19" t="str">
        <f>IF(LEN(G52)=0,"",VLOOKUP(G52,Issues!A:D,2,FALSE))</f>
        <v>(200) Contenidos</v>
      </c>
      <c r="I52" s="20" t="str">
        <f>IF(LEN(G52)=0,"",VLOOKUP(G52,Issues!A:D,3,FALSE))</f>
        <v>Entrega de mensaje fuera de horario establecido.</v>
      </c>
      <c r="J52" s="19" t="str">
        <f>IF(LEN(G52)=0,"",VLOOKUP(G52,Issues!A:D,4,FALSE))</f>
        <v>Critico</v>
      </c>
      <c r="K52" s="21" t="str">
        <f t="shared" si="2"/>
        <v>Issue</v>
      </c>
    </row>
    <row r="53" spans="1:11" x14ac:dyDescent="0.35">
      <c r="A53" s="23">
        <v>46134</v>
      </c>
      <c r="B53" s="19" t="str">
        <f t="shared" si="0"/>
        <v>abril</v>
      </c>
      <c r="C53" s="19" t="str">
        <f t="shared" si="1"/>
        <v>2026</v>
      </c>
      <c r="D53" s="24" t="s">
        <v>207</v>
      </c>
      <c r="E53" s="25" t="s">
        <v>26</v>
      </c>
      <c r="F53" s="25" t="s">
        <v>152</v>
      </c>
      <c r="G53" s="24">
        <v>700</v>
      </c>
      <c r="H53" s="19" t="str">
        <f>IF(LEN(G53)=0,"",VLOOKUP(G53,Issues!A:D,2,FALSE))</f>
        <v>(700) Interaccion MO/MT (On Demand)</v>
      </c>
      <c r="I53" s="20" t="str">
        <f>IF(LEN(G53)=0,"",VLOOKUP(G53,Issues!A:D,3,FALSE))</f>
        <v>Flujo MO/MT con éxito.</v>
      </c>
      <c r="J53" s="19" t="str">
        <f>IF(LEN(G53)=0,"",VLOOKUP(G53,Issues!A:D,4,FALSE))</f>
        <v>Prueba OK</v>
      </c>
      <c r="K53" s="21" t="str">
        <f t="shared" si="2"/>
        <v>OK</v>
      </c>
    </row>
    <row r="54" spans="1:11" x14ac:dyDescent="0.35">
      <c r="A54" s="23">
        <v>46038</v>
      </c>
      <c r="B54" s="19" t="str">
        <f t="shared" si="0"/>
        <v>enero</v>
      </c>
      <c r="C54" s="19" t="str">
        <f t="shared" si="1"/>
        <v>2026</v>
      </c>
      <c r="D54" s="24" t="s">
        <v>207</v>
      </c>
      <c r="E54" s="25" t="s">
        <v>19</v>
      </c>
      <c r="F54" s="25" t="s">
        <v>186</v>
      </c>
      <c r="G54" s="24">
        <v>700</v>
      </c>
      <c r="H54" s="19" t="str">
        <f>IF(LEN(G54)=0,"",VLOOKUP(G54,Issues!A:D,2,FALSE))</f>
        <v>(700) Interaccion MO/MT (On Demand)</v>
      </c>
      <c r="I54" s="20" t="str">
        <f>IF(LEN(G54)=0,"",VLOOKUP(G54,Issues!A:D,3,FALSE))</f>
        <v>Flujo MO/MT con éxito.</v>
      </c>
      <c r="J54" s="19" t="str">
        <f>IF(LEN(G54)=0,"",VLOOKUP(G54,Issues!A:D,4,FALSE))</f>
        <v>Prueba OK</v>
      </c>
      <c r="K54" s="21" t="str">
        <f t="shared" si="2"/>
        <v>OK</v>
      </c>
    </row>
    <row r="55" spans="1:11" x14ac:dyDescent="0.35">
      <c r="A55" s="23">
        <v>46043</v>
      </c>
      <c r="B55" s="19" t="str">
        <f t="shared" si="0"/>
        <v>enero</v>
      </c>
      <c r="C55" s="19" t="str">
        <f t="shared" si="1"/>
        <v>2026</v>
      </c>
      <c r="D55" s="24" t="s">
        <v>206</v>
      </c>
      <c r="E55" s="25" t="s">
        <v>26</v>
      </c>
      <c r="F55" s="25" t="s">
        <v>152</v>
      </c>
      <c r="G55" s="24">
        <v>300</v>
      </c>
      <c r="H55" s="19" t="str">
        <f>IF(LEN(G55)=0,"",VLOOKUP(G55,Issues!A:D,2,FALSE))</f>
        <v>(300) Cobros</v>
      </c>
      <c r="I55" s="20" t="str">
        <f>IF(LEN(G55)=0,"",VLOOKUP(G55,Issues!A:D,3,FALSE))</f>
        <v>Cobro en valor y forma correcto.</v>
      </c>
      <c r="J55" s="19" t="str">
        <f>IF(LEN(G55)=0,"",VLOOKUP(G55,Issues!A:D,4,FALSE))</f>
        <v>Prueba OK</v>
      </c>
      <c r="K55" s="21" t="str">
        <f t="shared" si="2"/>
        <v>OK</v>
      </c>
    </row>
    <row r="56" spans="1:11" x14ac:dyDescent="0.35">
      <c r="A56" s="23">
        <v>46156</v>
      </c>
      <c r="B56" s="19" t="str">
        <f t="shared" si="0"/>
        <v>mayo</v>
      </c>
      <c r="C56" s="19" t="str">
        <f t="shared" si="1"/>
        <v>2026</v>
      </c>
      <c r="D56" s="24" t="s">
        <v>209</v>
      </c>
      <c r="E56" s="25" t="s">
        <v>27</v>
      </c>
      <c r="F56" s="25" t="s">
        <v>200</v>
      </c>
      <c r="G56" s="24">
        <v>109</v>
      </c>
      <c r="H56" s="19" t="str">
        <f>IF(LEN(G56)=0,"",VLOOKUP(G56,Issues!A:D,2,FALSE))</f>
        <v>(100)  Alta</v>
      </c>
      <c r="I56" s="20" t="str">
        <f>IF(LEN(G56)=0,"",VLOOKUP(G56,Issues!A:D,3,FALSE))</f>
        <v>Fallas en estructura o diseño de la lp.</v>
      </c>
      <c r="J56" s="19" t="str">
        <f>IF(LEN(G56)=0,"",VLOOKUP(G56,Issues!A:D,4,FALSE))</f>
        <v>Medio</v>
      </c>
      <c r="K56" s="21" t="str">
        <f t="shared" si="2"/>
        <v>Issue</v>
      </c>
    </row>
    <row r="57" spans="1:11" x14ac:dyDescent="0.35">
      <c r="A57" s="23">
        <v>46040</v>
      </c>
      <c r="B57" s="19" t="str">
        <f t="shared" si="0"/>
        <v>enero</v>
      </c>
      <c r="C57" s="19" t="str">
        <f t="shared" si="1"/>
        <v>2026</v>
      </c>
      <c r="D57" s="24" t="s">
        <v>207</v>
      </c>
      <c r="E57" s="25" t="s">
        <v>13</v>
      </c>
      <c r="F57" s="25" t="s">
        <v>157</v>
      </c>
      <c r="G57" s="24">
        <v>300</v>
      </c>
      <c r="H57" s="19" t="str">
        <f>IF(LEN(G57)=0,"",VLOOKUP(G57,Issues!A:D,2,FALSE))</f>
        <v>(300) Cobros</v>
      </c>
      <c r="I57" s="20" t="str">
        <f>IF(LEN(G57)=0,"",VLOOKUP(G57,Issues!A:D,3,FALSE))</f>
        <v>Cobro en valor y forma correcto.</v>
      </c>
      <c r="J57" s="19" t="str">
        <f>IF(LEN(G57)=0,"",VLOOKUP(G57,Issues!A:D,4,FALSE))</f>
        <v>Prueba OK</v>
      </c>
      <c r="K57" s="21" t="str">
        <f t="shared" si="2"/>
        <v>OK</v>
      </c>
    </row>
    <row r="58" spans="1:11" x14ac:dyDescent="0.35">
      <c r="A58" s="23">
        <v>46102</v>
      </c>
      <c r="B58" s="19" t="str">
        <f t="shared" si="0"/>
        <v>marzo</v>
      </c>
      <c r="C58" s="19" t="str">
        <f t="shared" si="1"/>
        <v>2026</v>
      </c>
      <c r="D58" s="24" t="s">
        <v>206</v>
      </c>
      <c r="E58" s="25" t="s">
        <v>21</v>
      </c>
      <c r="F58" s="25" t="s">
        <v>192</v>
      </c>
      <c r="G58" s="24">
        <v>207</v>
      </c>
      <c r="H58" s="19" t="str">
        <f>IF(LEN(G58)=0,"",VLOOKUP(G58,Issues!A:D,2,FALSE))</f>
        <v>(200) Contenidos</v>
      </c>
      <c r="I58" s="20" t="str">
        <f>IF(LEN(G58)=0,"",VLOOKUP(G58,Issues!A:D,3,FALSE))</f>
        <v>Contenido repetido.</v>
      </c>
      <c r="J58" s="19" t="str">
        <f>IF(LEN(G58)=0,"",VLOOKUP(G58,Issues!A:D,4,FALSE))</f>
        <v>Medio</v>
      </c>
      <c r="K58" s="21" t="str">
        <f t="shared" si="2"/>
        <v>Issue</v>
      </c>
    </row>
    <row r="59" spans="1:11" x14ac:dyDescent="0.35">
      <c r="A59" s="23">
        <v>46095</v>
      </c>
      <c r="B59" s="19" t="str">
        <f t="shared" si="0"/>
        <v>marzo</v>
      </c>
      <c r="C59" s="19" t="str">
        <f t="shared" si="1"/>
        <v>2026</v>
      </c>
      <c r="D59" s="24" t="s">
        <v>207</v>
      </c>
      <c r="E59" s="25" t="s">
        <v>10</v>
      </c>
      <c r="F59" s="25" t="s">
        <v>163</v>
      </c>
      <c r="G59" s="24">
        <v>204</v>
      </c>
      <c r="H59" s="19" t="str">
        <f>IF(LEN(G59)=0,"",VLOOKUP(G59,Issues!A:D,2,FALSE))</f>
        <v>(200) Contenidos</v>
      </c>
      <c r="I59" s="20" t="str">
        <f>IF(LEN(G59)=0,"",VLOOKUP(G59,Issues!A:D,3,FALSE))</f>
        <v>Error/inconsistencia en t&amp;c en sms.</v>
      </c>
      <c r="J59" s="19" t="str">
        <f>IF(LEN(G59)=0,"",VLOOKUP(G59,Issues!A:D,4,FALSE))</f>
        <v>Critico</v>
      </c>
      <c r="K59" s="21" t="str">
        <f t="shared" si="2"/>
        <v>Issue</v>
      </c>
    </row>
    <row r="60" spans="1:11" x14ac:dyDescent="0.35">
      <c r="A60" s="23">
        <v>46085</v>
      </c>
      <c r="B60" s="19" t="str">
        <f t="shared" si="0"/>
        <v>marzo</v>
      </c>
      <c r="C60" s="19" t="str">
        <f t="shared" si="1"/>
        <v>2026</v>
      </c>
      <c r="D60" s="24" t="s">
        <v>207</v>
      </c>
      <c r="E60" s="25" t="s">
        <v>17</v>
      </c>
      <c r="F60" s="25" t="s">
        <v>181</v>
      </c>
      <c r="G60" s="24">
        <v>700</v>
      </c>
      <c r="H60" s="19" t="str">
        <f>IF(LEN(G60)=0,"",VLOOKUP(G60,Issues!A:D,2,FALSE))</f>
        <v>(700) Interaccion MO/MT (On Demand)</v>
      </c>
      <c r="I60" s="20" t="str">
        <f>IF(LEN(G60)=0,"",VLOOKUP(G60,Issues!A:D,3,FALSE))</f>
        <v>Flujo MO/MT con éxito.</v>
      </c>
      <c r="J60" s="19" t="str">
        <f>IF(LEN(G60)=0,"",VLOOKUP(G60,Issues!A:D,4,FALSE))</f>
        <v>Prueba OK</v>
      </c>
      <c r="K60" s="21" t="str">
        <f t="shared" si="2"/>
        <v>OK</v>
      </c>
    </row>
    <row r="61" spans="1:11" x14ac:dyDescent="0.35">
      <c r="A61" s="23">
        <v>46072</v>
      </c>
      <c r="B61" s="19" t="str">
        <f t="shared" si="0"/>
        <v>febrero</v>
      </c>
      <c r="C61" s="19" t="str">
        <f t="shared" si="1"/>
        <v>2026</v>
      </c>
      <c r="D61" s="24" t="s">
        <v>206</v>
      </c>
      <c r="E61" s="25" t="s">
        <v>11</v>
      </c>
      <c r="F61" s="25" t="s">
        <v>164</v>
      </c>
      <c r="G61" s="24">
        <v>500</v>
      </c>
      <c r="H61" s="19" t="str">
        <f>IF(LEN(G61)=0,"",VLOOKUP(G61,Issues!A:D,2,FALSE))</f>
        <v>(500) Baja / Cancelacion</v>
      </c>
      <c r="I61" s="20" t="str">
        <f>IF(LEN(G61)=0,"",VLOOKUP(G61,Issues!A:D,3,FALSE))</f>
        <v>Baja con éxito.</v>
      </c>
      <c r="J61" s="19" t="str">
        <f>IF(LEN(G61)=0,"",VLOOKUP(G61,Issues!A:D,4,FALSE))</f>
        <v>Prueba OK</v>
      </c>
      <c r="K61" s="21" t="str">
        <f t="shared" si="2"/>
        <v>OK</v>
      </c>
    </row>
    <row r="62" spans="1:11" x14ac:dyDescent="0.35">
      <c r="A62" s="23">
        <v>46069</v>
      </c>
      <c r="B62" s="19" t="str">
        <f t="shared" si="0"/>
        <v>febrero</v>
      </c>
      <c r="C62" s="19" t="str">
        <f t="shared" si="1"/>
        <v>2026</v>
      </c>
      <c r="D62" s="24" t="s">
        <v>208</v>
      </c>
      <c r="E62" s="25" t="s">
        <v>11</v>
      </c>
      <c r="F62" s="25" t="s">
        <v>164</v>
      </c>
      <c r="G62" s="24">
        <v>702</v>
      </c>
      <c r="H62" s="19" t="str">
        <f>IF(LEN(G62)=0,"",VLOOKUP(G62,Issues!A:D,2,FALSE))</f>
        <v>(700) Interaccion MO/MT (On Demand)</v>
      </c>
      <c r="I62" s="20" t="str">
        <f>IF(LEN(G62)=0,"",VLOOKUP(G62,Issues!A:D,3,FALSE))</f>
        <v>No se recibe mt.</v>
      </c>
      <c r="J62" s="19" t="str">
        <f>IF(LEN(G62)=0,"",VLOOKUP(G62,Issues!A:D,4,FALSE))</f>
        <v>Critico</v>
      </c>
      <c r="K62" s="21" t="str">
        <f t="shared" si="2"/>
        <v>Issue</v>
      </c>
    </row>
    <row r="63" spans="1:11" x14ac:dyDescent="0.35">
      <c r="A63" s="23">
        <v>46110</v>
      </c>
      <c r="B63" s="19" t="str">
        <f t="shared" si="0"/>
        <v>marzo</v>
      </c>
      <c r="C63" s="19" t="str">
        <f t="shared" si="1"/>
        <v>2026</v>
      </c>
      <c r="D63" s="24" t="s">
        <v>208</v>
      </c>
      <c r="E63" s="25" t="s">
        <v>23</v>
      </c>
      <c r="F63" s="25" t="s">
        <v>196</v>
      </c>
      <c r="G63" s="24">
        <v>700</v>
      </c>
      <c r="H63" s="19" t="str">
        <f>IF(LEN(G63)=0,"",VLOOKUP(G63,Issues!A:D,2,FALSE))</f>
        <v>(700) Interaccion MO/MT (On Demand)</v>
      </c>
      <c r="I63" s="20" t="str">
        <f>IF(LEN(G63)=0,"",VLOOKUP(G63,Issues!A:D,3,FALSE))</f>
        <v>Flujo MO/MT con éxito.</v>
      </c>
      <c r="J63" s="19" t="str">
        <f>IF(LEN(G63)=0,"",VLOOKUP(G63,Issues!A:D,4,FALSE))</f>
        <v>Prueba OK</v>
      </c>
      <c r="K63" s="21" t="str">
        <f t="shared" si="2"/>
        <v>OK</v>
      </c>
    </row>
    <row r="64" spans="1:11" x14ac:dyDescent="0.35">
      <c r="A64" s="23">
        <v>46114</v>
      </c>
      <c r="B64" s="19" t="str">
        <f t="shared" si="0"/>
        <v>abril</v>
      </c>
      <c r="C64" s="19" t="str">
        <f t="shared" si="1"/>
        <v>2026</v>
      </c>
      <c r="D64" s="24" t="s">
        <v>205</v>
      </c>
      <c r="E64" s="25" t="s">
        <v>27</v>
      </c>
      <c r="F64" s="25" t="s">
        <v>201</v>
      </c>
      <c r="G64" s="24">
        <v>300</v>
      </c>
      <c r="H64" s="19" t="str">
        <f>IF(LEN(G64)=0,"",VLOOKUP(G64,Issues!A:D,2,FALSE))</f>
        <v>(300) Cobros</v>
      </c>
      <c r="I64" s="20" t="str">
        <f>IF(LEN(G64)=0,"",VLOOKUP(G64,Issues!A:D,3,FALSE))</f>
        <v>Cobro en valor y forma correcto.</v>
      </c>
      <c r="J64" s="19" t="str">
        <f>IF(LEN(G64)=0,"",VLOOKUP(G64,Issues!A:D,4,FALSE))</f>
        <v>Prueba OK</v>
      </c>
      <c r="K64" s="21" t="str">
        <f t="shared" si="2"/>
        <v>OK</v>
      </c>
    </row>
    <row r="65" spans="1:11" x14ac:dyDescent="0.35">
      <c r="A65" s="23">
        <v>46037</v>
      </c>
      <c r="B65" s="19" t="str">
        <f t="shared" si="0"/>
        <v>enero</v>
      </c>
      <c r="C65" s="19" t="str">
        <f t="shared" si="1"/>
        <v>2026</v>
      </c>
      <c r="D65" s="24" t="s">
        <v>206</v>
      </c>
      <c r="E65" s="25" t="s">
        <v>11</v>
      </c>
      <c r="F65" s="25" t="s">
        <v>165</v>
      </c>
      <c r="G65" s="24">
        <v>500</v>
      </c>
      <c r="H65" s="19" t="str">
        <f>IF(LEN(G65)=0,"",VLOOKUP(G65,Issues!A:D,2,FALSE))</f>
        <v>(500) Baja / Cancelacion</v>
      </c>
      <c r="I65" s="20" t="str">
        <f>IF(LEN(G65)=0,"",VLOOKUP(G65,Issues!A:D,3,FALSE))</f>
        <v>Baja con éxito.</v>
      </c>
      <c r="J65" s="19" t="str">
        <f>IF(LEN(G65)=0,"",VLOOKUP(G65,Issues!A:D,4,FALSE))</f>
        <v>Prueba OK</v>
      </c>
      <c r="K65" s="21" t="str">
        <f t="shared" si="2"/>
        <v>OK</v>
      </c>
    </row>
    <row r="66" spans="1:11" x14ac:dyDescent="0.35">
      <c r="A66" s="23">
        <v>46080</v>
      </c>
      <c r="B66" s="19" t="str">
        <f t="shared" si="0"/>
        <v>febrero</v>
      </c>
      <c r="C66" s="19" t="str">
        <f t="shared" si="1"/>
        <v>2026</v>
      </c>
      <c r="D66" s="24" t="s">
        <v>205</v>
      </c>
      <c r="E66" s="25" t="s">
        <v>14</v>
      </c>
      <c r="F66" s="25" t="s">
        <v>171</v>
      </c>
      <c r="G66" s="24">
        <v>205</v>
      </c>
      <c r="H66" s="19" t="str">
        <f>IF(LEN(G66)=0,"",VLOOKUP(G66,Issues!A:D,2,FALSE))</f>
        <v>(200) Contenidos</v>
      </c>
      <c r="I66" s="20" t="str">
        <f>IF(LEN(G66)=0,"",VLOOKUP(G66,Issues!A:D,3,FALSE))</f>
        <v>Llego contenido de otro club.</v>
      </c>
      <c r="J66" s="19" t="str">
        <f>IF(LEN(G66)=0,"",VLOOKUP(G66,Issues!A:D,4,FALSE))</f>
        <v>Critico</v>
      </c>
      <c r="K66" s="21" t="str">
        <f t="shared" si="2"/>
        <v>Issue</v>
      </c>
    </row>
    <row r="67" spans="1:11" x14ac:dyDescent="0.35">
      <c r="A67" s="23">
        <v>46100</v>
      </c>
      <c r="B67" s="19" t="str">
        <f t="shared" ref="B67:B130" si="3">IF(LEN(A67)=0,"",TEXT(A67,"mmmm"))</f>
        <v>marzo</v>
      </c>
      <c r="C67" s="19" t="str">
        <f t="shared" ref="C67:C96" si="4">IF(LEN(A67)=0,"",TEXT(A67,"aaaa"))</f>
        <v>2026</v>
      </c>
      <c r="D67" s="24" t="s">
        <v>207</v>
      </c>
      <c r="E67" s="25" t="s">
        <v>22</v>
      </c>
      <c r="F67" s="25" t="s">
        <v>154</v>
      </c>
      <c r="G67" s="24">
        <v>405</v>
      </c>
      <c r="H67" s="19" t="str">
        <f>IF(LEN(G67)=0,"",VLOOKUP(G67,Issues!A:D,2,FALSE))</f>
        <v>(400) Portales / Web-App</v>
      </c>
      <c r="I67" s="20" t="str">
        <f>IF(LEN(G67)=0,"",VLOOKUP(G67,Issues!A:D,3,FALSE))</f>
        <v>Problemas de estructura o textos del portal o web-app.</v>
      </c>
      <c r="J67" s="19" t="str">
        <f>IF(LEN(G67)=0,"",VLOOKUP(G67,Issues!A:D,4,FALSE))</f>
        <v>Medio</v>
      </c>
      <c r="K67" s="21" t="str">
        <f t="shared" ref="K67:K130" si="5">IF(LEN(G67)=0,"",IF(OR(J67="critico",J67="Medio",J67="Bajo"),"Issue",IF(J67="Prueba OK","OK","")))</f>
        <v>Issue</v>
      </c>
    </row>
    <row r="68" spans="1:11" x14ac:dyDescent="0.35">
      <c r="A68" s="23">
        <v>46113</v>
      </c>
      <c r="B68" s="19" t="str">
        <f t="shared" si="3"/>
        <v>abril</v>
      </c>
      <c r="C68" s="19" t="str">
        <f t="shared" si="4"/>
        <v>2026</v>
      </c>
      <c r="D68" s="24" t="s">
        <v>206</v>
      </c>
      <c r="E68" s="25" t="s">
        <v>12</v>
      </c>
      <c r="F68" s="25" t="s">
        <v>167</v>
      </c>
      <c r="G68" s="24">
        <v>110</v>
      </c>
      <c r="H68" s="19" t="str">
        <f>IF(LEN(G68)=0,"",VLOOKUP(G68,Issues!A:D,2,FALSE))</f>
        <v>(100)  Alta</v>
      </c>
      <c r="I68" s="20" t="str">
        <f>IF(LEN(G68)=0,"",VLOOKUP(G68,Issues!A:D,3,FALSE))</f>
        <v>Falla en alta a traves de ivr.</v>
      </c>
      <c r="J68" s="19" t="str">
        <f>IF(LEN(G68)=0,"",VLOOKUP(G68,Issues!A:D,4,FALSE))</f>
        <v>Critico</v>
      </c>
      <c r="K68" s="21" t="str">
        <f t="shared" si="5"/>
        <v>Issue</v>
      </c>
    </row>
    <row r="69" spans="1:11" x14ac:dyDescent="0.35">
      <c r="A69" s="23">
        <v>46078</v>
      </c>
      <c r="B69" s="19" t="str">
        <f t="shared" si="3"/>
        <v>febrero</v>
      </c>
      <c r="C69" s="19" t="str">
        <f t="shared" si="4"/>
        <v>2026</v>
      </c>
      <c r="D69" s="24" t="s">
        <v>206</v>
      </c>
      <c r="E69" s="25" t="s">
        <v>15</v>
      </c>
      <c r="F69" s="25" t="s">
        <v>174</v>
      </c>
      <c r="G69" s="24">
        <v>700</v>
      </c>
      <c r="H69" s="19" t="str">
        <f>IF(LEN(G69)=0,"",VLOOKUP(G69,Issues!A:D,2,FALSE))</f>
        <v>(700) Interaccion MO/MT (On Demand)</v>
      </c>
      <c r="I69" s="20" t="str">
        <f>IF(LEN(G69)=0,"",VLOOKUP(G69,Issues!A:D,3,FALSE))</f>
        <v>Flujo MO/MT con éxito.</v>
      </c>
      <c r="J69" s="19" t="str">
        <f>IF(LEN(G69)=0,"",VLOOKUP(G69,Issues!A:D,4,FALSE))</f>
        <v>Prueba OK</v>
      </c>
      <c r="K69" s="21" t="str">
        <f t="shared" si="5"/>
        <v>OK</v>
      </c>
    </row>
    <row r="70" spans="1:11" x14ac:dyDescent="0.35">
      <c r="A70" s="23">
        <v>46062</v>
      </c>
      <c r="B70" s="19" t="str">
        <f t="shared" si="3"/>
        <v>febrero</v>
      </c>
      <c r="C70" s="19" t="str">
        <f t="shared" si="4"/>
        <v>2026</v>
      </c>
      <c r="D70" s="24" t="s">
        <v>208</v>
      </c>
      <c r="E70" s="25" t="s">
        <v>15</v>
      </c>
      <c r="F70" s="25" t="s">
        <v>175</v>
      </c>
      <c r="G70" s="24">
        <v>400</v>
      </c>
      <c r="H70" s="19" t="str">
        <f>IF(LEN(G70)=0,"",VLOOKUP(G70,Issues!A:D,2,FALSE))</f>
        <v>(400) Portales / Web-App</v>
      </c>
      <c r="I70" s="20" t="str">
        <f>IF(LEN(G70)=0,"",VLOOKUP(G70,Issues!A:D,3,FALSE))</f>
        <v>Portal evaluado con éxito.</v>
      </c>
      <c r="J70" s="19" t="str">
        <f>IF(LEN(G70)=0,"",VLOOKUP(G70,Issues!A:D,4,FALSE))</f>
        <v>Prueba OK</v>
      </c>
      <c r="K70" s="21" t="str">
        <f t="shared" si="5"/>
        <v>OK</v>
      </c>
    </row>
    <row r="71" spans="1:11" x14ac:dyDescent="0.35">
      <c r="A71" s="23">
        <v>46071</v>
      </c>
      <c r="B71" s="19" t="str">
        <f t="shared" si="3"/>
        <v>febrero</v>
      </c>
      <c r="C71" s="19" t="str">
        <f t="shared" si="4"/>
        <v>2026</v>
      </c>
      <c r="D71" s="24" t="s">
        <v>206</v>
      </c>
      <c r="E71" s="25" t="s">
        <v>23</v>
      </c>
      <c r="F71" s="25" t="s">
        <v>195</v>
      </c>
      <c r="G71" s="24">
        <v>500</v>
      </c>
      <c r="H71" s="19" t="str">
        <f>IF(LEN(G71)=0,"",VLOOKUP(G71,Issues!A:D,2,FALSE))</f>
        <v>(500) Baja / Cancelacion</v>
      </c>
      <c r="I71" s="20" t="str">
        <f>IF(LEN(G71)=0,"",VLOOKUP(G71,Issues!A:D,3,FALSE))</f>
        <v>Baja con éxito.</v>
      </c>
      <c r="J71" s="19" t="str">
        <f>IF(LEN(G71)=0,"",VLOOKUP(G71,Issues!A:D,4,FALSE))</f>
        <v>Prueba OK</v>
      </c>
      <c r="K71" s="21" t="str">
        <f t="shared" si="5"/>
        <v>OK</v>
      </c>
    </row>
    <row r="72" spans="1:11" x14ac:dyDescent="0.35">
      <c r="A72" s="23">
        <v>46051</v>
      </c>
      <c r="B72" s="19" t="str">
        <f t="shared" si="3"/>
        <v>enero</v>
      </c>
      <c r="C72" s="19" t="str">
        <f t="shared" si="4"/>
        <v>2026</v>
      </c>
      <c r="D72" s="24" t="s">
        <v>207</v>
      </c>
      <c r="E72" s="25" t="s">
        <v>18</v>
      </c>
      <c r="F72" s="25" t="s">
        <v>183</v>
      </c>
      <c r="G72" s="24">
        <v>502</v>
      </c>
      <c r="H72" s="19" t="str">
        <f>IF(LEN(G72)=0,"",VLOOKUP(G72,Issues!A:D,2,FALSE))</f>
        <v>(500) Baja / Cancelacion</v>
      </c>
      <c r="I72" s="20" t="str">
        <f>IF(LEN(G72)=0,"",VLOOKUP(G72,Issues!A:D,3,FALSE))</f>
        <v>No entrega el mt de baja.</v>
      </c>
      <c r="J72" s="19" t="str">
        <f>IF(LEN(G72)=0,"",VLOOKUP(G72,Issues!A:D,4,FALSE))</f>
        <v>Critico</v>
      </c>
      <c r="K72" s="21" t="str">
        <f t="shared" si="5"/>
        <v>Issue</v>
      </c>
    </row>
    <row r="73" spans="1:11" x14ac:dyDescent="0.35">
      <c r="A73" s="23">
        <v>46086</v>
      </c>
      <c r="B73" s="19" t="str">
        <f t="shared" si="3"/>
        <v>marzo</v>
      </c>
      <c r="C73" s="19" t="str">
        <f t="shared" si="4"/>
        <v>2026</v>
      </c>
      <c r="D73" s="24" t="s">
        <v>207</v>
      </c>
      <c r="E73" s="25" t="s">
        <v>10</v>
      </c>
      <c r="F73" s="25" t="s">
        <v>163</v>
      </c>
      <c r="G73" s="24">
        <v>500</v>
      </c>
      <c r="H73" s="19" t="str">
        <f>IF(LEN(G73)=0,"",VLOOKUP(G73,Issues!A:D,2,FALSE))</f>
        <v>(500) Baja / Cancelacion</v>
      </c>
      <c r="I73" s="20" t="str">
        <f>IF(LEN(G73)=0,"",VLOOKUP(G73,Issues!A:D,3,FALSE))</f>
        <v>Baja con éxito.</v>
      </c>
      <c r="J73" s="19" t="str">
        <f>IF(LEN(G73)=0,"",VLOOKUP(G73,Issues!A:D,4,FALSE))</f>
        <v>Prueba OK</v>
      </c>
      <c r="K73" s="21" t="str">
        <f t="shared" si="5"/>
        <v>OK</v>
      </c>
    </row>
    <row r="74" spans="1:11" x14ac:dyDescent="0.35">
      <c r="A74" s="23">
        <v>46026</v>
      </c>
      <c r="B74" s="19" t="str">
        <f t="shared" si="3"/>
        <v>enero</v>
      </c>
      <c r="C74" s="19" t="str">
        <f t="shared" si="4"/>
        <v>2026</v>
      </c>
      <c r="D74" s="24" t="s">
        <v>206</v>
      </c>
      <c r="E74" s="25" t="s">
        <v>25</v>
      </c>
      <c r="F74" s="25" t="s">
        <v>197</v>
      </c>
      <c r="G74" s="24">
        <v>704</v>
      </c>
      <c r="H74" s="19" t="str">
        <f>IF(LEN(G74)=0,"",VLOOKUP(G74,Issues!A:D,2,FALSE))</f>
        <v>(700) Interaccion MO/MT (On Demand)</v>
      </c>
      <c r="I74" s="20" t="str">
        <f>IF(LEN(G74)=0,"",VLOOKUP(G74,Issues!A:D,3,FALSE))</f>
        <v>Fallas en puntajes, trivias, creditos, etc.</v>
      </c>
      <c r="J74" s="19" t="str">
        <f>IF(LEN(G74)=0,"",VLOOKUP(G74,Issues!A:D,4,FALSE))</f>
        <v>Critico</v>
      </c>
      <c r="K74" s="21" t="str">
        <f t="shared" si="5"/>
        <v>Issue</v>
      </c>
    </row>
    <row r="75" spans="1:11" x14ac:dyDescent="0.35">
      <c r="A75" s="23">
        <v>46110</v>
      </c>
      <c r="B75" s="19" t="str">
        <f t="shared" si="3"/>
        <v>marzo</v>
      </c>
      <c r="C75" s="19" t="str">
        <f t="shared" si="4"/>
        <v>2026</v>
      </c>
      <c r="D75" s="24" t="s">
        <v>207</v>
      </c>
      <c r="E75" s="25" t="s">
        <v>19</v>
      </c>
      <c r="F75" s="25" t="s">
        <v>187</v>
      </c>
      <c r="G75" s="24">
        <v>101</v>
      </c>
      <c r="H75" s="19" t="str">
        <f>IF(LEN(G75)=0,"",VLOOKUP(G75,Issues!A:D,2,FALSE))</f>
        <v>(100)  Alta</v>
      </c>
      <c r="I75" s="20" t="str">
        <f>IF(LEN(G75)=0,"",VLOOKUP(G75,Issues!A:D,3,FALSE))</f>
        <v>No se genero el alta - no hay respuesta al kw.</v>
      </c>
      <c r="J75" s="19" t="str">
        <f>IF(LEN(G75)=0,"",VLOOKUP(G75,Issues!A:D,4,FALSE))</f>
        <v>Critico</v>
      </c>
      <c r="K75" s="21" t="str">
        <f t="shared" si="5"/>
        <v>Issue</v>
      </c>
    </row>
    <row r="76" spans="1:11" x14ac:dyDescent="0.35">
      <c r="A76" s="23">
        <v>46132</v>
      </c>
      <c r="B76" s="19" t="str">
        <f t="shared" si="3"/>
        <v>abril</v>
      </c>
      <c r="C76" s="19" t="str">
        <f t="shared" si="4"/>
        <v>2026</v>
      </c>
      <c r="D76" s="24" t="s">
        <v>207</v>
      </c>
      <c r="E76" s="25" t="s">
        <v>20</v>
      </c>
      <c r="F76" s="25" t="s">
        <v>188</v>
      </c>
      <c r="G76" s="24">
        <v>700</v>
      </c>
      <c r="H76" s="19" t="str">
        <f>IF(LEN(G76)=0,"",VLOOKUP(G76,Issues!A:D,2,FALSE))</f>
        <v>(700) Interaccion MO/MT (On Demand)</v>
      </c>
      <c r="I76" s="20" t="str">
        <f>IF(LEN(G76)=0,"",VLOOKUP(G76,Issues!A:D,3,FALSE))</f>
        <v>Flujo MO/MT con éxito.</v>
      </c>
      <c r="J76" s="19" t="str">
        <f>IF(LEN(G76)=0,"",VLOOKUP(G76,Issues!A:D,4,FALSE))</f>
        <v>Prueba OK</v>
      </c>
      <c r="K76" s="21" t="str">
        <f t="shared" si="5"/>
        <v>OK</v>
      </c>
    </row>
    <row r="77" spans="1:11" x14ac:dyDescent="0.35">
      <c r="A77" s="23">
        <v>46105</v>
      </c>
      <c r="B77" s="19" t="str">
        <f t="shared" si="3"/>
        <v>marzo</v>
      </c>
      <c r="C77" s="19" t="str">
        <f t="shared" si="4"/>
        <v>2026</v>
      </c>
      <c r="D77" s="24" t="s">
        <v>205</v>
      </c>
      <c r="E77" s="25" t="s">
        <v>14</v>
      </c>
      <c r="F77" s="25" t="s">
        <v>171</v>
      </c>
      <c r="G77" s="24">
        <v>102</v>
      </c>
      <c r="H77" s="19" t="str">
        <f>IF(LEN(G77)=0,"",VLOOKUP(G77,Issues!A:D,2,FALSE))</f>
        <v>(100)  Alta</v>
      </c>
      <c r="I77" s="20" t="str">
        <f>IF(LEN(G77)=0,"",VLOOKUP(G77,Issues!A:D,3,FALSE))</f>
        <v>Falla en doble optin en sms.</v>
      </c>
      <c r="J77" s="19" t="str">
        <f>IF(LEN(G77)=0,"",VLOOKUP(G77,Issues!A:D,4,FALSE))</f>
        <v>Critico</v>
      </c>
      <c r="K77" s="21" t="str">
        <f t="shared" si="5"/>
        <v>Issue</v>
      </c>
    </row>
    <row r="78" spans="1:11" x14ac:dyDescent="0.35">
      <c r="A78" s="23">
        <v>46118</v>
      </c>
      <c r="B78" s="19" t="str">
        <f t="shared" si="3"/>
        <v>abril</v>
      </c>
      <c r="C78" s="19" t="str">
        <f t="shared" si="4"/>
        <v>2026</v>
      </c>
      <c r="D78" s="24" t="s">
        <v>207</v>
      </c>
      <c r="E78" s="25" t="s">
        <v>10</v>
      </c>
      <c r="F78" s="25" t="s">
        <v>162</v>
      </c>
      <c r="G78" s="24">
        <v>500</v>
      </c>
      <c r="H78" s="19" t="str">
        <f>IF(LEN(G78)=0,"",VLOOKUP(G78,Issues!A:D,2,FALSE))</f>
        <v>(500) Baja / Cancelacion</v>
      </c>
      <c r="I78" s="20" t="str">
        <f>IF(LEN(G78)=0,"",VLOOKUP(G78,Issues!A:D,3,FALSE))</f>
        <v>Baja con éxito.</v>
      </c>
      <c r="J78" s="19" t="str">
        <f>IF(LEN(G78)=0,"",VLOOKUP(G78,Issues!A:D,4,FALSE))</f>
        <v>Prueba OK</v>
      </c>
      <c r="K78" s="21" t="str">
        <f t="shared" si="5"/>
        <v>OK</v>
      </c>
    </row>
    <row r="79" spans="1:11" x14ac:dyDescent="0.35">
      <c r="A79" s="23">
        <v>46120</v>
      </c>
      <c r="B79" s="19" t="str">
        <f t="shared" si="3"/>
        <v>abril</v>
      </c>
      <c r="C79" s="19" t="str">
        <f t="shared" si="4"/>
        <v>2026</v>
      </c>
      <c r="D79" s="24" t="s">
        <v>207</v>
      </c>
      <c r="E79" s="25" t="s">
        <v>20</v>
      </c>
      <c r="F79" s="25" t="s">
        <v>190</v>
      </c>
      <c r="G79" s="24">
        <v>400</v>
      </c>
      <c r="H79" s="19" t="str">
        <f>IF(LEN(G79)=0,"",VLOOKUP(G79,Issues!A:D,2,FALSE))</f>
        <v>(400) Portales / Web-App</v>
      </c>
      <c r="I79" s="20" t="str">
        <f>IF(LEN(G79)=0,"",VLOOKUP(G79,Issues!A:D,3,FALSE))</f>
        <v>Portal evaluado con éxito.</v>
      </c>
      <c r="J79" s="19" t="str">
        <f>IF(LEN(G79)=0,"",VLOOKUP(G79,Issues!A:D,4,FALSE))</f>
        <v>Prueba OK</v>
      </c>
      <c r="K79" s="21" t="str">
        <f t="shared" si="5"/>
        <v>OK</v>
      </c>
    </row>
    <row r="80" spans="1:11" x14ac:dyDescent="0.35">
      <c r="A80" s="23">
        <v>46143</v>
      </c>
      <c r="B80" s="19" t="str">
        <f t="shared" si="3"/>
        <v>mayo</v>
      </c>
      <c r="C80" s="19" t="str">
        <f t="shared" si="4"/>
        <v>2026</v>
      </c>
      <c r="D80" s="24" t="s">
        <v>206</v>
      </c>
      <c r="E80" s="25" t="s">
        <v>21</v>
      </c>
      <c r="F80" s="25" t="s">
        <v>193</v>
      </c>
      <c r="G80" s="24">
        <v>209</v>
      </c>
      <c r="H80" s="19" t="str">
        <f>IF(LEN(G80)=0,"",VLOOKUP(G80,Issues!A:D,2,FALSE))</f>
        <v>(200) Contenidos</v>
      </c>
      <c r="I80" s="20" t="str">
        <f>IF(LEN(G80)=0,"",VLOOKUP(G80,Issues!A:D,3,FALSE))</f>
        <v>Contenido desactualizado.</v>
      </c>
      <c r="J80" s="19" t="str">
        <f>IF(LEN(G80)=0,"",VLOOKUP(G80,Issues!A:D,4,FALSE))</f>
        <v>Medio</v>
      </c>
      <c r="K80" s="21" t="str">
        <f t="shared" si="5"/>
        <v>Issue</v>
      </c>
    </row>
    <row r="81" spans="1:11" x14ac:dyDescent="0.35">
      <c r="A81" s="23">
        <v>46076</v>
      </c>
      <c r="B81" s="19" t="str">
        <f t="shared" si="3"/>
        <v>febrero</v>
      </c>
      <c r="C81" s="19" t="str">
        <f t="shared" si="4"/>
        <v>2026</v>
      </c>
      <c r="D81" s="24" t="s">
        <v>207</v>
      </c>
      <c r="E81" s="25" t="s">
        <v>17</v>
      </c>
      <c r="F81" s="25" t="s">
        <v>181</v>
      </c>
      <c r="G81" s="24">
        <v>103</v>
      </c>
      <c r="H81" s="19" t="str">
        <f>IF(LEN(G81)=0,"",VLOOKUP(G81,Issues!A:D,2,FALSE))</f>
        <v>(100)  Alta</v>
      </c>
      <c r="I81" s="20" t="str">
        <f>IF(LEN(G81)=0,"",VLOOKUP(G81,Issues!A:D,3,FALSE))</f>
        <v>Inconsistencia en el welcome.</v>
      </c>
      <c r="J81" s="19" t="str">
        <f>IF(LEN(G81)=0,"",VLOOKUP(G81,Issues!A:D,4,FALSE))</f>
        <v>Critico</v>
      </c>
      <c r="K81" s="21" t="str">
        <f t="shared" si="5"/>
        <v>Issue</v>
      </c>
    </row>
    <row r="82" spans="1:11" x14ac:dyDescent="0.35">
      <c r="A82" s="23">
        <v>46023</v>
      </c>
      <c r="B82" s="19" t="str">
        <f t="shared" si="3"/>
        <v>enero</v>
      </c>
      <c r="C82" s="19" t="str">
        <f t="shared" si="4"/>
        <v>2026</v>
      </c>
      <c r="D82" s="24" t="s">
        <v>206</v>
      </c>
      <c r="E82" s="25" t="s">
        <v>16</v>
      </c>
      <c r="F82" s="25" t="s">
        <v>177</v>
      </c>
      <c r="G82" s="24">
        <v>207</v>
      </c>
      <c r="H82" s="19" t="str">
        <f>IF(LEN(G82)=0,"",VLOOKUP(G82,Issues!A:D,2,FALSE))</f>
        <v>(200) Contenidos</v>
      </c>
      <c r="I82" s="20" t="str">
        <f>IF(LEN(G82)=0,"",VLOOKUP(G82,Issues!A:D,3,FALSE))</f>
        <v>Contenido repetido.</v>
      </c>
      <c r="J82" s="19" t="str">
        <f>IF(LEN(G82)=0,"",VLOOKUP(G82,Issues!A:D,4,FALSE))</f>
        <v>Medio</v>
      </c>
      <c r="K82" s="21" t="str">
        <f t="shared" si="5"/>
        <v>Issue</v>
      </c>
    </row>
    <row r="83" spans="1:11" x14ac:dyDescent="0.35">
      <c r="A83" s="23">
        <v>46046</v>
      </c>
      <c r="B83" s="19" t="str">
        <f t="shared" si="3"/>
        <v>enero</v>
      </c>
      <c r="C83" s="19" t="str">
        <f t="shared" si="4"/>
        <v>2026</v>
      </c>
      <c r="D83" s="24" t="s">
        <v>207</v>
      </c>
      <c r="E83" s="25" t="s">
        <v>20</v>
      </c>
      <c r="F83" s="25" t="s">
        <v>189</v>
      </c>
      <c r="G83" s="24">
        <v>504</v>
      </c>
      <c r="H83" s="19" t="str">
        <f>IF(LEN(G83)=0,"",VLOOKUP(G83,Issues!A:D,2,FALSE))</f>
        <v>(500) Baja / Cancelacion</v>
      </c>
      <c r="I83" s="20" t="str">
        <f>IF(LEN(G83)=0,"",VLOOKUP(G83,Issues!A:D,3,FALSE))</f>
        <v>No funciona la baja desde la lp.</v>
      </c>
      <c r="J83" s="19" t="str">
        <f>IF(LEN(G83)=0,"",VLOOKUP(G83,Issues!A:D,4,FALSE))</f>
        <v>Critico</v>
      </c>
      <c r="K83" s="21" t="str">
        <f t="shared" si="5"/>
        <v>Issue</v>
      </c>
    </row>
    <row r="84" spans="1:11" x14ac:dyDescent="0.35">
      <c r="A84" s="23">
        <v>46058</v>
      </c>
      <c r="B84" s="19" t="str">
        <f t="shared" si="3"/>
        <v>febrero</v>
      </c>
      <c r="C84" s="19" t="str">
        <f t="shared" si="4"/>
        <v>2026</v>
      </c>
      <c r="D84" s="24" t="s">
        <v>206</v>
      </c>
      <c r="E84" s="25" t="s">
        <v>12</v>
      </c>
      <c r="F84" s="25" t="s">
        <v>168</v>
      </c>
      <c r="G84" s="24">
        <v>802</v>
      </c>
      <c r="H84" s="19" t="str">
        <f>IF(LEN(G84)=0,"",VLOOKUP(G84,Issues!A:D,2,FALSE))</f>
        <v>(800) Politicas especiales operadores</v>
      </c>
      <c r="I84" s="20" t="str">
        <f>IF(LEN(G84)=0,"",VLOOKUP(G84,Issues!A:D,3,FALSE))</f>
        <v>Falla en colilla legal con info del cp.</v>
      </c>
      <c r="J84" s="19" t="str">
        <f>IF(LEN(G84)=0,"",VLOOKUP(G84,Issues!A:D,4,FALSE))</f>
        <v>Critico</v>
      </c>
      <c r="K84" s="21" t="str">
        <f t="shared" si="5"/>
        <v>Issue</v>
      </c>
    </row>
    <row r="85" spans="1:11" x14ac:dyDescent="0.35">
      <c r="A85" s="23">
        <v>46032</v>
      </c>
      <c r="B85" s="19" t="str">
        <f t="shared" si="3"/>
        <v>enero</v>
      </c>
      <c r="C85" s="19" t="str">
        <f t="shared" si="4"/>
        <v>2026</v>
      </c>
      <c r="D85" s="24" t="s">
        <v>207</v>
      </c>
      <c r="E85" s="25" t="s">
        <v>27</v>
      </c>
      <c r="F85" s="25" t="s">
        <v>200</v>
      </c>
      <c r="G85" s="24">
        <v>507</v>
      </c>
      <c r="H85" s="19" t="str">
        <f>IF(LEN(G85)=0,"",VLOOKUP(G85,Issues!A:D,2,FALSE))</f>
        <v>(500) Baja / Cancelacion</v>
      </c>
      <c r="I85" s="20" t="str">
        <f>IF(LEN(G85)=0,"",VLOOKUP(G85,Issues!A:D,3,FALSE))</f>
        <v>No funciona la baja desde portal / web app.</v>
      </c>
      <c r="J85" s="19" t="str">
        <f>IF(LEN(G85)=0,"",VLOOKUP(G85,Issues!A:D,4,FALSE))</f>
        <v>Critico</v>
      </c>
      <c r="K85" s="21" t="str">
        <f t="shared" si="5"/>
        <v>Issue</v>
      </c>
    </row>
    <row r="86" spans="1:11" x14ac:dyDescent="0.35">
      <c r="A86" s="23">
        <v>46085</v>
      </c>
      <c r="B86" s="19" t="str">
        <f t="shared" si="3"/>
        <v>marzo</v>
      </c>
      <c r="C86" s="19" t="str">
        <f t="shared" si="4"/>
        <v>2026</v>
      </c>
      <c r="D86" s="24" t="s">
        <v>206</v>
      </c>
      <c r="E86" s="25" t="s">
        <v>16</v>
      </c>
      <c r="F86" s="25" t="s">
        <v>177</v>
      </c>
      <c r="G86" s="24">
        <v>300</v>
      </c>
      <c r="H86" s="19" t="str">
        <f>IF(LEN(G86)=0,"",VLOOKUP(G86,Issues!A:D,2,FALSE))</f>
        <v>(300) Cobros</v>
      </c>
      <c r="I86" s="20" t="str">
        <f>IF(LEN(G86)=0,"",VLOOKUP(G86,Issues!A:D,3,FALSE))</f>
        <v>Cobro en valor y forma correcto.</v>
      </c>
      <c r="J86" s="19" t="str">
        <f>IF(LEN(G86)=0,"",VLOOKUP(G86,Issues!A:D,4,FALSE))</f>
        <v>Prueba OK</v>
      </c>
      <c r="K86" s="21" t="str">
        <f t="shared" si="5"/>
        <v>OK</v>
      </c>
    </row>
    <row r="87" spans="1:11" x14ac:dyDescent="0.35">
      <c r="A87" s="23">
        <v>46098</v>
      </c>
      <c r="B87" s="19" t="str">
        <f t="shared" si="3"/>
        <v>marzo</v>
      </c>
      <c r="C87" s="19" t="str">
        <f t="shared" si="4"/>
        <v>2026</v>
      </c>
      <c r="D87" s="24" t="s">
        <v>207</v>
      </c>
      <c r="E87" s="25" t="s">
        <v>20</v>
      </c>
      <c r="F87" s="25" t="s">
        <v>188</v>
      </c>
      <c r="G87" s="24">
        <v>109</v>
      </c>
      <c r="H87" s="19" t="str">
        <f>IF(LEN(G87)=0,"",VLOOKUP(G87,Issues!A:D,2,FALSE))</f>
        <v>(100)  Alta</v>
      </c>
      <c r="I87" s="20" t="str">
        <f>IF(LEN(G87)=0,"",VLOOKUP(G87,Issues!A:D,3,FALSE))</f>
        <v>Fallas en estructura o diseño de la lp.</v>
      </c>
      <c r="J87" s="19" t="str">
        <f>IF(LEN(G87)=0,"",VLOOKUP(G87,Issues!A:D,4,FALSE))</f>
        <v>Medio</v>
      </c>
      <c r="K87" s="21" t="str">
        <f t="shared" si="5"/>
        <v>Issue</v>
      </c>
    </row>
    <row r="88" spans="1:11" x14ac:dyDescent="0.35">
      <c r="A88" s="23">
        <v>46034</v>
      </c>
      <c r="B88" s="19" t="str">
        <f t="shared" si="3"/>
        <v>enero</v>
      </c>
      <c r="C88" s="19" t="str">
        <f t="shared" si="4"/>
        <v>2026</v>
      </c>
      <c r="D88" s="24" t="s">
        <v>207</v>
      </c>
      <c r="E88" s="25" t="s">
        <v>12</v>
      </c>
      <c r="F88" s="25" t="s">
        <v>169</v>
      </c>
      <c r="G88" s="24">
        <v>300</v>
      </c>
      <c r="H88" s="19" t="str">
        <f>IF(LEN(G88)=0,"",VLOOKUP(G88,Issues!A:D,2,FALSE))</f>
        <v>(300) Cobros</v>
      </c>
      <c r="I88" s="20" t="str">
        <f>IF(LEN(G88)=0,"",VLOOKUP(G88,Issues!A:D,3,FALSE))</f>
        <v>Cobro en valor y forma correcto.</v>
      </c>
      <c r="J88" s="19" t="str">
        <f>IF(LEN(G88)=0,"",VLOOKUP(G88,Issues!A:D,4,FALSE))</f>
        <v>Prueba OK</v>
      </c>
      <c r="K88" s="21" t="str">
        <f t="shared" si="5"/>
        <v>OK</v>
      </c>
    </row>
    <row r="89" spans="1:11" x14ac:dyDescent="0.35">
      <c r="A89" s="23">
        <v>46027</v>
      </c>
      <c r="B89" s="19" t="str">
        <f t="shared" si="3"/>
        <v>enero</v>
      </c>
      <c r="C89" s="19" t="str">
        <f t="shared" si="4"/>
        <v>2026</v>
      </c>
      <c r="D89" s="24" t="s">
        <v>207</v>
      </c>
      <c r="E89" s="25" t="s">
        <v>17</v>
      </c>
      <c r="F89" s="25" t="s">
        <v>181</v>
      </c>
      <c r="G89" s="24">
        <v>705</v>
      </c>
      <c r="H89" s="19" t="str">
        <f>IF(LEN(G89)=0,"",VLOOKUP(G89,Issues!A:D,2,FALSE))</f>
        <v>(700) Interaccion MO/MT (On Demand)</v>
      </c>
      <c r="I89" s="20" t="str">
        <f>IF(LEN(G89)=0,"",VLOOKUP(G89,Issues!A:D,3,FALSE))</f>
        <v>No funcionan los kw´s especiales (info, puntaje, ayuda, etc).</v>
      </c>
      <c r="J89" s="19" t="str">
        <f>IF(LEN(G89)=0,"",VLOOKUP(G89,Issues!A:D,4,FALSE))</f>
        <v>Medio</v>
      </c>
      <c r="K89" s="21" t="str">
        <f t="shared" si="5"/>
        <v>Issue</v>
      </c>
    </row>
    <row r="90" spans="1:11" x14ac:dyDescent="0.35">
      <c r="A90" s="23">
        <v>46154</v>
      </c>
      <c r="B90" s="19" t="str">
        <f t="shared" si="3"/>
        <v>mayo</v>
      </c>
      <c r="C90" s="19" t="str">
        <f t="shared" si="4"/>
        <v>2026</v>
      </c>
      <c r="D90" s="24" t="s">
        <v>207</v>
      </c>
      <c r="E90" s="25" t="s">
        <v>13</v>
      </c>
      <c r="F90" s="25" t="s">
        <v>153</v>
      </c>
      <c r="G90" s="24">
        <v>111</v>
      </c>
      <c r="H90" s="19" t="str">
        <f>IF(LEN(G90)=0,"",VLOOKUP(G90,Issues!A:D,2,FALSE))</f>
        <v>(100)  Alta</v>
      </c>
      <c r="I90" s="20" t="str">
        <f>IF(LEN(G90)=0,"",VLOOKUP(G90,Issues!A:D,3,FALSE))</f>
        <v>Falla en alta a traves de sim.</v>
      </c>
      <c r="J90" s="19" t="str">
        <f>IF(LEN(G90)=0,"",VLOOKUP(G90,Issues!A:D,4,FALSE))</f>
        <v>Critico</v>
      </c>
      <c r="K90" s="21" t="str">
        <f t="shared" si="5"/>
        <v>Issue</v>
      </c>
    </row>
    <row r="91" spans="1:11" x14ac:dyDescent="0.35">
      <c r="A91" s="23">
        <v>46076</v>
      </c>
      <c r="B91" s="19" t="str">
        <f t="shared" si="3"/>
        <v>febrero</v>
      </c>
      <c r="C91" s="19" t="str">
        <f t="shared" si="4"/>
        <v>2026</v>
      </c>
      <c r="D91" s="24" t="s">
        <v>209</v>
      </c>
      <c r="E91" s="25" t="s">
        <v>26</v>
      </c>
      <c r="F91" s="25" t="s">
        <v>152</v>
      </c>
      <c r="G91" s="24">
        <v>506</v>
      </c>
      <c r="H91" s="19" t="str">
        <f>IF(LEN(G91)=0,"",VLOOKUP(G91,Issues!A:D,2,FALSE))</f>
        <v>(500) Baja / Cancelacion</v>
      </c>
      <c r="I91" s="20" t="str">
        <f>IF(LEN(G91)=0,"",VLOOKUP(G91,Issues!A:D,3,FALSE))</f>
        <v>No funciona la baja desde ivr.</v>
      </c>
      <c r="J91" s="19" t="str">
        <f>IF(LEN(G91)=0,"",VLOOKUP(G91,Issues!A:D,4,FALSE))</f>
        <v>Critico</v>
      </c>
      <c r="K91" s="21" t="str">
        <f t="shared" si="5"/>
        <v>Issue</v>
      </c>
    </row>
    <row r="92" spans="1:11" x14ac:dyDescent="0.35">
      <c r="A92" s="23">
        <v>46121</v>
      </c>
      <c r="B92" s="19" t="str">
        <f t="shared" si="3"/>
        <v>abril</v>
      </c>
      <c r="C92" s="19" t="str">
        <f t="shared" si="4"/>
        <v>2026</v>
      </c>
      <c r="D92" s="24" t="s">
        <v>207</v>
      </c>
      <c r="E92" s="25" t="s">
        <v>14</v>
      </c>
      <c r="F92" s="25" t="s">
        <v>170</v>
      </c>
      <c r="G92" s="24">
        <v>700</v>
      </c>
      <c r="H92" s="19" t="str">
        <f>IF(LEN(G92)=0,"",VLOOKUP(G92,Issues!A:D,2,FALSE))</f>
        <v>(700) Interaccion MO/MT (On Demand)</v>
      </c>
      <c r="I92" s="20" t="str">
        <f>IF(LEN(G92)=0,"",VLOOKUP(G92,Issues!A:D,3,FALSE))</f>
        <v>Flujo MO/MT con éxito.</v>
      </c>
      <c r="J92" s="19" t="str">
        <f>IF(LEN(G92)=0,"",VLOOKUP(G92,Issues!A:D,4,FALSE))</f>
        <v>Prueba OK</v>
      </c>
      <c r="K92" s="21" t="str">
        <f t="shared" si="5"/>
        <v>OK</v>
      </c>
    </row>
    <row r="93" spans="1:11" x14ac:dyDescent="0.35">
      <c r="A93" s="23">
        <v>46096</v>
      </c>
      <c r="B93" s="19" t="str">
        <f t="shared" si="3"/>
        <v>marzo</v>
      </c>
      <c r="C93" s="19" t="str">
        <f t="shared" si="4"/>
        <v>2026</v>
      </c>
      <c r="D93" s="24" t="s">
        <v>210</v>
      </c>
      <c r="E93" s="25" t="s">
        <v>12</v>
      </c>
      <c r="F93" s="25" t="s">
        <v>169</v>
      </c>
      <c r="G93" s="24">
        <v>201</v>
      </c>
      <c r="H93" s="19" t="str">
        <f>IF(LEN(G93)=0,"",VLOOKUP(G93,Issues!A:D,2,FALSE))</f>
        <v>(200) Contenidos</v>
      </c>
      <c r="I93" s="20" t="str">
        <f>IF(LEN(G93)=0,"",VLOOKUP(G93,Issues!A:D,3,FALSE))</f>
        <v>Entrega de mensaje fuera de horario establecido.</v>
      </c>
      <c r="J93" s="19" t="str">
        <f>IF(LEN(G93)=0,"",VLOOKUP(G93,Issues!A:D,4,FALSE))</f>
        <v>Critico</v>
      </c>
      <c r="K93" s="21" t="str">
        <f t="shared" si="5"/>
        <v>Issue</v>
      </c>
    </row>
    <row r="94" spans="1:11" x14ac:dyDescent="0.35">
      <c r="A94" s="23">
        <v>46028</v>
      </c>
      <c r="B94" s="19" t="str">
        <f t="shared" si="3"/>
        <v>enero</v>
      </c>
      <c r="C94" s="19" t="str">
        <f t="shared" si="4"/>
        <v>2026</v>
      </c>
      <c r="D94" s="24" t="s">
        <v>206</v>
      </c>
      <c r="E94" s="25" t="s">
        <v>22</v>
      </c>
      <c r="F94" s="25" t="s">
        <v>150</v>
      </c>
      <c r="G94" s="24">
        <v>205</v>
      </c>
      <c r="H94" s="19" t="str">
        <f>IF(LEN(G94)=0,"",VLOOKUP(G94,Issues!A:D,2,FALSE))</f>
        <v>(200) Contenidos</v>
      </c>
      <c r="I94" s="20" t="str">
        <f>IF(LEN(G94)=0,"",VLOOKUP(G94,Issues!A:D,3,FALSE))</f>
        <v>Llego contenido de otro club.</v>
      </c>
      <c r="J94" s="19" t="str">
        <f>IF(LEN(G94)=0,"",VLOOKUP(G94,Issues!A:D,4,FALSE))</f>
        <v>Critico</v>
      </c>
      <c r="K94" s="21" t="str">
        <f t="shared" si="5"/>
        <v>Issue</v>
      </c>
    </row>
    <row r="95" spans="1:11" x14ac:dyDescent="0.35">
      <c r="A95" s="23">
        <v>46071</v>
      </c>
      <c r="B95" s="19" t="str">
        <f t="shared" si="3"/>
        <v>febrero</v>
      </c>
      <c r="C95" s="19" t="str">
        <f t="shared" si="4"/>
        <v>2026</v>
      </c>
      <c r="D95" s="24" t="s">
        <v>207</v>
      </c>
      <c r="E95" s="25" t="s">
        <v>13</v>
      </c>
      <c r="F95" s="25" t="s">
        <v>157</v>
      </c>
      <c r="G95" s="24">
        <v>308</v>
      </c>
      <c r="H95" s="19" t="str">
        <f>IF(LEN(G95)=0,"",VLOOKUP(G95,Issues!A:D,2,FALSE))</f>
        <v>(300) Cobros</v>
      </c>
      <c r="I95" s="20" t="str">
        <f>IF(LEN(G95)=0,"",VLOOKUP(G95,Issues!A:D,3,FALSE))</f>
        <v>No entrega confirmacion de cobro.</v>
      </c>
      <c r="J95" s="19" t="str">
        <f>IF(LEN(G95)=0,"",VLOOKUP(G95,Issues!A:D,4,FALSE))</f>
        <v>Critico</v>
      </c>
      <c r="K95" s="21" t="str">
        <f t="shared" si="5"/>
        <v>Issue</v>
      </c>
    </row>
    <row r="96" spans="1:11" x14ac:dyDescent="0.35">
      <c r="A96" s="23">
        <v>46109</v>
      </c>
      <c r="B96" s="19" t="str">
        <f t="shared" si="3"/>
        <v>marzo</v>
      </c>
      <c r="C96" s="19" t="str">
        <f t="shared" si="4"/>
        <v>2026</v>
      </c>
      <c r="D96" s="24" t="s">
        <v>206</v>
      </c>
      <c r="E96" s="25" t="s">
        <v>15</v>
      </c>
      <c r="F96" s="25" t="s">
        <v>173</v>
      </c>
      <c r="G96" s="24">
        <v>800</v>
      </c>
      <c r="H96" s="19" t="str">
        <f>IF(LEN(G96)=0,"",VLOOKUP(G96,Issues!A:D,2,FALSE))</f>
        <v>(800) Politicas especiales operadores</v>
      </c>
      <c r="I96" s="20" t="str">
        <f>IF(LEN(G96)=0,"",VLOOKUP(G96,Issues!A:D,3,FALSE))</f>
        <v>Politicas de los operadores cumplidas.</v>
      </c>
      <c r="J96" s="19" t="str">
        <f>IF(LEN(G96)=0,"",VLOOKUP(G96,Issues!A:D,4,FALSE))</f>
        <v>Prueba OK</v>
      </c>
      <c r="K96" s="21" t="str">
        <f t="shared" si="5"/>
        <v>OK</v>
      </c>
    </row>
    <row r="97" spans="1:11" x14ac:dyDescent="0.35">
      <c r="A97" s="23">
        <v>46046</v>
      </c>
      <c r="B97" s="19" t="str">
        <f t="shared" si="3"/>
        <v>enero</v>
      </c>
      <c r="C97" s="19" t="str">
        <f t="shared" ref="C97:C160" si="6">IF(LEN(A97)=0,"",TEXT(A97,"aaaa"))</f>
        <v>2026</v>
      </c>
      <c r="D97" s="24" t="s">
        <v>206</v>
      </c>
      <c r="E97" s="25" t="s">
        <v>16</v>
      </c>
      <c r="F97" s="25" t="s">
        <v>177</v>
      </c>
      <c r="G97" s="24">
        <v>112</v>
      </c>
      <c r="H97" s="19" t="str">
        <f>IF(LEN(G97)=0,"",VLOOKUP(G97,Issues!A:D,2,FALSE))</f>
        <v>(100)  Alta</v>
      </c>
      <c r="I97" s="20" t="str">
        <f>IF(LEN(G97)=0,"",VLOOKUP(G97,Issues!A:D,3,FALSE))</f>
        <v>Falla en alta a traves de tienda.</v>
      </c>
      <c r="J97" s="19" t="str">
        <f>IF(LEN(G97)=0,"",VLOOKUP(G97,Issues!A:D,4,FALSE))</f>
        <v>Critico</v>
      </c>
      <c r="K97" s="21" t="str">
        <f t="shared" si="5"/>
        <v>Issue</v>
      </c>
    </row>
    <row r="98" spans="1:11" x14ac:dyDescent="0.35">
      <c r="A98" s="23">
        <v>46034</v>
      </c>
      <c r="B98" s="19" t="str">
        <f t="shared" si="3"/>
        <v>enero</v>
      </c>
      <c r="C98" s="19" t="str">
        <f t="shared" si="6"/>
        <v>2026</v>
      </c>
      <c r="D98" s="24" t="s">
        <v>207</v>
      </c>
      <c r="E98" s="25" t="s">
        <v>17</v>
      </c>
      <c r="F98" s="25" t="s">
        <v>179</v>
      </c>
      <c r="G98" s="24">
        <v>700</v>
      </c>
      <c r="H98" s="19" t="str">
        <f>IF(LEN(G98)=0,"",VLOOKUP(G98,Issues!A:D,2,FALSE))</f>
        <v>(700) Interaccion MO/MT (On Demand)</v>
      </c>
      <c r="I98" s="20" t="str">
        <f>IF(LEN(G98)=0,"",VLOOKUP(G98,Issues!A:D,3,FALSE))</f>
        <v>Flujo MO/MT con éxito.</v>
      </c>
      <c r="J98" s="19" t="str">
        <f>IF(LEN(G98)=0,"",VLOOKUP(G98,Issues!A:D,4,FALSE))</f>
        <v>Prueba OK</v>
      </c>
      <c r="K98" s="21" t="str">
        <f t="shared" si="5"/>
        <v>OK</v>
      </c>
    </row>
    <row r="99" spans="1:11" x14ac:dyDescent="0.35">
      <c r="A99" s="23">
        <v>46027</v>
      </c>
      <c r="B99" s="19" t="str">
        <f t="shared" si="3"/>
        <v>enero</v>
      </c>
      <c r="C99" s="19" t="str">
        <f t="shared" si="6"/>
        <v>2026</v>
      </c>
      <c r="D99" s="24" t="s">
        <v>208</v>
      </c>
      <c r="E99" s="25" t="s">
        <v>23</v>
      </c>
      <c r="F99" s="25" t="s">
        <v>196</v>
      </c>
      <c r="G99" s="24">
        <v>106</v>
      </c>
      <c r="H99" s="19" t="str">
        <f>IF(LEN(G99)=0,"",VLOOKUP(G99,Issues!A:D,2,FALSE))</f>
        <v>(100)  Alta</v>
      </c>
      <c r="I99" s="20" t="str">
        <f>IF(LEN(G99)=0,"",VLOOKUP(G99,Issues!A:D,3,FALSE))</f>
        <v>Falla en lp de suscripción web.</v>
      </c>
      <c r="J99" s="19" t="str">
        <f>IF(LEN(G99)=0,"",VLOOKUP(G99,Issues!A:D,4,FALSE))</f>
        <v>Critico</v>
      </c>
      <c r="K99" s="21" t="str">
        <f t="shared" si="5"/>
        <v>Issue</v>
      </c>
    </row>
    <row r="100" spans="1:11" x14ac:dyDescent="0.35">
      <c r="A100" s="23">
        <v>46054</v>
      </c>
      <c r="B100" s="19" t="str">
        <f t="shared" si="3"/>
        <v>febrero</v>
      </c>
      <c r="C100" s="19" t="str">
        <f t="shared" si="6"/>
        <v>2026</v>
      </c>
      <c r="D100" s="24" t="s">
        <v>206</v>
      </c>
      <c r="E100" s="25" t="s">
        <v>10</v>
      </c>
      <c r="F100" s="25" t="s">
        <v>163</v>
      </c>
      <c r="G100" s="24">
        <v>500</v>
      </c>
      <c r="H100" s="19" t="str">
        <f>IF(LEN(G100)=0,"",VLOOKUP(G100,Issues!A:D,2,FALSE))</f>
        <v>(500) Baja / Cancelacion</v>
      </c>
      <c r="I100" s="20" t="str">
        <f>IF(LEN(G100)=0,"",VLOOKUP(G100,Issues!A:D,3,FALSE))</f>
        <v>Baja con éxito.</v>
      </c>
      <c r="J100" s="19" t="str">
        <f>IF(LEN(G100)=0,"",VLOOKUP(G100,Issues!A:D,4,FALSE))</f>
        <v>Prueba OK</v>
      </c>
      <c r="K100" s="21" t="str">
        <f t="shared" si="5"/>
        <v>OK</v>
      </c>
    </row>
    <row r="101" spans="1:11" x14ac:dyDescent="0.35">
      <c r="A101" s="23">
        <v>46138</v>
      </c>
      <c r="B101" s="19" t="str">
        <f t="shared" si="3"/>
        <v>abril</v>
      </c>
      <c r="C101" s="19" t="str">
        <f t="shared" si="6"/>
        <v>2026</v>
      </c>
      <c r="D101" s="24" t="s">
        <v>209</v>
      </c>
      <c r="E101" s="25" t="s">
        <v>13</v>
      </c>
      <c r="F101" s="25" t="s">
        <v>157</v>
      </c>
      <c r="G101" s="24">
        <v>700</v>
      </c>
      <c r="H101" s="19" t="str">
        <f>IF(LEN(G101)=0,"",VLOOKUP(G101,Issues!A:D,2,FALSE))</f>
        <v>(700) Interaccion MO/MT (On Demand)</v>
      </c>
      <c r="I101" s="20" t="str">
        <f>IF(LEN(G101)=0,"",VLOOKUP(G101,Issues!A:D,3,FALSE))</f>
        <v>Flujo MO/MT con éxito.</v>
      </c>
      <c r="J101" s="19" t="str">
        <f>IF(LEN(G101)=0,"",VLOOKUP(G101,Issues!A:D,4,FALSE))</f>
        <v>Prueba OK</v>
      </c>
      <c r="K101" s="21" t="str">
        <f t="shared" si="5"/>
        <v>OK</v>
      </c>
    </row>
    <row r="102" spans="1:11" x14ac:dyDescent="0.35">
      <c r="A102" s="23">
        <v>46073</v>
      </c>
      <c r="B102" s="19" t="str">
        <f t="shared" si="3"/>
        <v>febrero</v>
      </c>
      <c r="C102" s="19" t="str">
        <f t="shared" si="6"/>
        <v>2026</v>
      </c>
      <c r="D102" s="24" t="s">
        <v>207</v>
      </c>
      <c r="E102" s="25" t="s">
        <v>23</v>
      </c>
      <c r="F102" s="25" t="s">
        <v>194</v>
      </c>
      <c r="G102" s="24">
        <v>300</v>
      </c>
      <c r="H102" s="19" t="str">
        <f>IF(LEN(G102)=0,"",VLOOKUP(G102,Issues!A:D,2,FALSE))</f>
        <v>(300) Cobros</v>
      </c>
      <c r="I102" s="20" t="str">
        <f>IF(LEN(G102)=0,"",VLOOKUP(G102,Issues!A:D,3,FALSE))</f>
        <v>Cobro en valor y forma correcto.</v>
      </c>
      <c r="J102" s="19" t="str">
        <f>IF(LEN(G102)=0,"",VLOOKUP(G102,Issues!A:D,4,FALSE))</f>
        <v>Prueba OK</v>
      </c>
      <c r="K102" s="21" t="str">
        <f t="shared" si="5"/>
        <v>OK</v>
      </c>
    </row>
    <row r="103" spans="1:11" x14ac:dyDescent="0.35">
      <c r="A103" s="23">
        <v>46154</v>
      </c>
      <c r="B103" s="19" t="str">
        <f t="shared" si="3"/>
        <v>mayo</v>
      </c>
      <c r="C103" s="19" t="str">
        <f t="shared" si="6"/>
        <v>2026</v>
      </c>
      <c r="D103" s="24" t="s">
        <v>207</v>
      </c>
      <c r="E103" s="25" t="s">
        <v>13</v>
      </c>
      <c r="F103" s="25" t="s">
        <v>153</v>
      </c>
      <c r="G103" s="24">
        <v>800</v>
      </c>
      <c r="H103" s="19" t="str">
        <f>IF(LEN(G103)=0,"",VLOOKUP(G103,Issues!A:D,2,FALSE))</f>
        <v>(800) Politicas especiales operadores</v>
      </c>
      <c r="I103" s="20" t="str">
        <f>IF(LEN(G103)=0,"",VLOOKUP(G103,Issues!A:D,3,FALSE))</f>
        <v>Politicas de los operadores cumplidas.</v>
      </c>
      <c r="J103" s="19" t="str">
        <f>IF(LEN(G103)=0,"",VLOOKUP(G103,Issues!A:D,4,FALSE))</f>
        <v>Prueba OK</v>
      </c>
      <c r="K103" s="21" t="str">
        <f t="shared" si="5"/>
        <v>OK</v>
      </c>
    </row>
    <row r="104" spans="1:11" x14ac:dyDescent="0.35">
      <c r="A104" s="23">
        <v>46107</v>
      </c>
      <c r="B104" s="19" t="str">
        <f t="shared" si="3"/>
        <v>marzo</v>
      </c>
      <c r="C104" s="19" t="str">
        <f t="shared" si="6"/>
        <v>2026</v>
      </c>
      <c r="D104" s="24" t="s">
        <v>207</v>
      </c>
      <c r="E104" s="25" t="s">
        <v>21</v>
      </c>
      <c r="F104" s="25" t="s">
        <v>192</v>
      </c>
      <c r="G104" s="24">
        <v>302</v>
      </c>
      <c r="H104" s="19" t="str">
        <f>IF(LEN(G104)=0,"",VLOOKUP(G104,Issues!A:D,2,FALSE))</f>
        <v>(300) Cobros</v>
      </c>
      <c r="I104" s="20" t="str">
        <f>IF(LEN(G104)=0,"",VLOOKUP(G104,Issues!A:D,3,FALSE))</f>
        <v>No llego contenido (no hubo cobro).</v>
      </c>
      <c r="J104" s="19" t="str">
        <f>IF(LEN(G104)=0,"",VLOOKUP(G104,Issues!A:D,4,FALSE))</f>
        <v>Critico</v>
      </c>
      <c r="K104" s="21" t="str">
        <f t="shared" si="5"/>
        <v>Issue</v>
      </c>
    </row>
    <row r="105" spans="1:11" x14ac:dyDescent="0.35">
      <c r="A105" s="23">
        <v>46105</v>
      </c>
      <c r="B105" s="19" t="str">
        <f t="shared" si="3"/>
        <v>marzo</v>
      </c>
      <c r="C105" s="19" t="str">
        <f t="shared" si="6"/>
        <v>2026</v>
      </c>
      <c r="D105" s="24" t="s">
        <v>207</v>
      </c>
      <c r="E105" s="25" t="s">
        <v>17</v>
      </c>
      <c r="F105" s="25" t="s">
        <v>181</v>
      </c>
      <c r="G105" s="24">
        <v>700</v>
      </c>
      <c r="H105" s="19" t="str">
        <f>IF(LEN(G105)=0,"",VLOOKUP(G105,Issues!A:D,2,FALSE))</f>
        <v>(700) Interaccion MO/MT (On Demand)</v>
      </c>
      <c r="I105" s="20" t="str">
        <f>IF(LEN(G105)=0,"",VLOOKUP(G105,Issues!A:D,3,FALSE))</f>
        <v>Flujo MO/MT con éxito.</v>
      </c>
      <c r="J105" s="19" t="str">
        <f>IF(LEN(G105)=0,"",VLOOKUP(G105,Issues!A:D,4,FALSE))</f>
        <v>Prueba OK</v>
      </c>
      <c r="K105" s="21" t="str">
        <f t="shared" si="5"/>
        <v>OK</v>
      </c>
    </row>
    <row r="106" spans="1:11" x14ac:dyDescent="0.35">
      <c r="A106" s="23">
        <v>46135</v>
      </c>
      <c r="B106" s="19" t="str">
        <f t="shared" si="3"/>
        <v>abril</v>
      </c>
      <c r="C106" s="19" t="str">
        <f t="shared" si="6"/>
        <v>2026</v>
      </c>
      <c r="D106" s="24" t="s">
        <v>207</v>
      </c>
      <c r="E106" s="25" t="s">
        <v>13</v>
      </c>
      <c r="F106" s="25" t="s">
        <v>157</v>
      </c>
      <c r="G106" s="24">
        <v>210</v>
      </c>
      <c r="H106" s="19" t="str">
        <f>IF(LEN(G106)=0,"",VLOOKUP(G106,Issues!A:D,2,FALSE))</f>
        <v>(200) Contenidos</v>
      </c>
      <c r="I106" s="20" t="str">
        <f>IF(LEN(G106)=0,"",VLOOKUP(G106,Issues!A:D,3,FALSE))</f>
        <v>Contenido no apropiado - fuera de las politicas del operador.</v>
      </c>
      <c r="J106" s="19" t="str">
        <f>IF(LEN(G106)=0,"",VLOOKUP(G106,Issues!A:D,4,FALSE))</f>
        <v>Critico</v>
      </c>
      <c r="K106" s="21" t="str">
        <f t="shared" si="5"/>
        <v>Issue</v>
      </c>
    </row>
    <row r="107" spans="1:11" x14ac:dyDescent="0.35">
      <c r="A107" s="23">
        <v>46040</v>
      </c>
      <c r="B107" s="19" t="str">
        <f t="shared" si="3"/>
        <v>enero</v>
      </c>
      <c r="C107" s="19" t="str">
        <f t="shared" si="6"/>
        <v>2026</v>
      </c>
      <c r="D107" s="24" t="s">
        <v>206</v>
      </c>
      <c r="E107" s="25" t="s">
        <v>10</v>
      </c>
      <c r="F107" s="25" t="s">
        <v>163</v>
      </c>
      <c r="G107" s="24">
        <v>507</v>
      </c>
      <c r="H107" s="19" t="str">
        <f>IF(LEN(G107)=0,"",VLOOKUP(G107,Issues!A:D,2,FALSE))</f>
        <v>(500) Baja / Cancelacion</v>
      </c>
      <c r="I107" s="20" t="str">
        <f>IF(LEN(G107)=0,"",VLOOKUP(G107,Issues!A:D,3,FALSE))</f>
        <v>No funciona la baja desde portal / web app.</v>
      </c>
      <c r="J107" s="19" t="str">
        <f>IF(LEN(G107)=0,"",VLOOKUP(G107,Issues!A:D,4,FALSE))</f>
        <v>Critico</v>
      </c>
      <c r="K107" s="21" t="str">
        <f t="shared" si="5"/>
        <v>Issue</v>
      </c>
    </row>
    <row r="108" spans="1:11" x14ac:dyDescent="0.35">
      <c r="A108" s="23">
        <v>46061</v>
      </c>
      <c r="B108" s="19" t="str">
        <f t="shared" si="3"/>
        <v>febrero</v>
      </c>
      <c r="C108" s="19" t="str">
        <f t="shared" si="6"/>
        <v>2026</v>
      </c>
      <c r="D108" s="24" t="s">
        <v>207</v>
      </c>
      <c r="E108" s="25" t="s">
        <v>22</v>
      </c>
      <c r="F108" s="25" t="s">
        <v>150</v>
      </c>
      <c r="G108" s="24">
        <v>107</v>
      </c>
      <c r="H108" s="19" t="str">
        <f>IF(LEN(G108)=0,"",VLOOKUP(G108,Issues!A:D,2,FALSE))</f>
        <v>(100)  Alta</v>
      </c>
      <c r="I108" s="20" t="str">
        <f>IF(LEN(G108)=0,"",VLOOKUP(G108,Issues!A:D,3,FALSE))</f>
        <v>Falla en lp de suscripción wap - header enrichment.</v>
      </c>
      <c r="J108" s="19" t="str">
        <f>IF(LEN(G108)=0,"",VLOOKUP(G108,Issues!A:D,4,FALSE))</f>
        <v>Critico</v>
      </c>
      <c r="K108" s="21" t="str">
        <f t="shared" si="5"/>
        <v>Issue</v>
      </c>
    </row>
    <row r="109" spans="1:11" x14ac:dyDescent="0.35">
      <c r="A109" s="23">
        <v>46025</v>
      </c>
      <c r="B109" s="19" t="str">
        <f t="shared" si="3"/>
        <v>enero</v>
      </c>
      <c r="C109" s="19" t="str">
        <f t="shared" si="6"/>
        <v>2026</v>
      </c>
      <c r="D109" s="24" t="s">
        <v>207</v>
      </c>
      <c r="E109" s="25" t="s">
        <v>19</v>
      </c>
      <c r="F109" s="25" t="s">
        <v>186</v>
      </c>
      <c r="G109" s="24">
        <v>500</v>
      </c>
      <c r="H109" s="19" t="str">
        <f>IF(LEN(G109)=0,"",VLOOKUP(G109,Issues!A:D,2,FALSE))</f>
        <v>(500) Baja / Cancelacion</v>
      </c>
      <c r="I109" s="20" t="str">
        <f>IF(LEN(G109)=0,"",VLOOKUP(G109,Issues!A:D,3,FALSE))</f>
        <v>Baja con éxito.</v>
      </c>
      <c r="J109" s="19" t="str">
        <f>IF(LEN(G109)=0,"",VLOOKUP(G109,Issues!A:D,4,FALSE))</f>
        <v>Prueba OK</v>
      </c>
      <c r="K109" s="21" t="str">
        <f t="shared" si="5"/>
        <v>OK</v>
      </c>
    </row>
    <row r="110" spans="1:11" x14ac:dyDescent="0.35">
      <c r="A110" s="23">
        <v>46148</v>
      </c>
      <c r="B110" s="19" t="str">
        <f t="shared" si="3"/>
        <v>mayo</v>
      </c>
      <c r="C110" s="19" t="str">
        <f t="shared" si="6"/>
        <v>2026</v>
      </c>
      <c r="D110" s="24" t="s">
        <v>206</v>
      </c>
      <c r="E110" s="25" t="s">
        <v>21</v>
      </c>
      <c r="F110" s="25" t="s">
        <v>191</v>
      </c>
      <c r="G110" s="24">
        <v>200</v>
      </c>
      <c r="H110" s="19" t="str">
        <f>IF(LEN(G110)=0,"",VLOOKUP(G110,Issues!A:D,2,FALSE))</f>
        <v>(200) Contenidos</v>
      </c>
      <c r="I110" s="20" t="str">
        <f>IF(LEN(G110)=0,"",VLOOKUP(G110,Issues!A:D,3,FALSE))</f>
        <v>Contenidos recibido con éxito.</v>
      </c>
      <c r="J110" s="19" t="str">
        <f>IF(LEN(G110)=0,"",VLOOKUP(G110,Issues!A:D,4,FALSE))</f>
        <v>Prueba OK</v>
      </c>
      <c r="K110" s="21" t="str">
        <f t="shared" si="5"/>
        <v>OK</v>
      </c>
    </row>
    <row r="111" spans="1:11" x14ac:dyDescent="0.35">
      <c r="A111" s="23">
        <v>46101</v>
      </c>
      <c r="B111" s="19" t="str">
        <f t="shared" si="3"/>
        <v>marzo</v>
      </c>
      <c r="C111" s="19" t="str">
        <f t="shared" si="6"/>
        <v>2026</v>
      </c>
      <c r="D111" s="24" t="s">
        <v>207</v>
      </c>
      <c r="E111" s="25" t="s">
        <v>20</v>
      </c>
      <c r="F111" s="25" t="s">
        <v>190</v>
      </c>
      <c r="G111" s="24">
        <v>300</v>
      </c>
      <c r="H111" s="19" t="str">
        <f>IF(LEN(G111)=0,"",VLOOKUP(G111,Issues!A:D,2,FALSE))</f>
        <v>(300) Cobros</v>
      </c>
      <c r="I111" s="20" t="str">
        <f>IF(LEN(G111)=0,"",VLOOKUP(G111,Issues!A:D,3,FALSE))</f>
        <v>Cobro en valor y forma correcto.</v>
      </c>
      <c r="J111" s="19" t="str">
        <f>IF(LEN(G111)=0,"",VLOOKUP(G111,Issues!A:D,4,FALSE))</f>
        <v>Prueba OK</v>
      </c>
      <c r="K111" s="21" t="str">
        <f t="shared" si="5"/>
        <v>OK</v>
      </c>
    </row>
    <row r="112" spans="1:11" x14ac:dyDescent="0.35">
      <c r="A112" s="23">
        <v>46061</v>
      </c>
      <c r="B112" s="19" t="str">
        <f t="shared" si="3"/>
        <v>febrero</v>
      </c>
      <c r="C112" s="19" t="str">
        <f t="shared" si="6"/>
        <v>2026</v>
      </c>
      <c r="D112" s="24" t="s">
        <v>208</v>
      </c>
      <c r="E112" s="25" t="s">
        <v>22</v>
      </c>
      <c r="F112" s="25" t="s">
        <v>154</v>
      </c>
      <c r="G112" s="24">
        <v>703</v>
      </c>
      <c r="H112" s="19" t="str">
        <f>IF(LEN(G112)=0,"",VLOOKUP(G112,Issues!A:D,2,FALSE))</f>
        <v>(700) Interaccion MO/MT (On Demand)</v>
      </c>
      <c r="I112" s="20" t="str">
        <f>IF(LEN(G112)=0,"",VLOOKUP(G112,Issues!A:D,3,FALSE))</f>
        <v>Fallas en la interaccion mo/mt.</v>
      </c>
      <c r="J112" s="19" t="str">
        <f>IF(LEN(G112)=0,"",VLOOKUP(G112,Issues!A:D,4,FALSE))</f>
        <v>Critico</v>
      </c>
      <c r="K112" s="21" t="str">
        <f t="shared" si="5"/>
        <v>Issue</v>
      </c>
    </row>
    <row r="113" spans="1:11" x14ac:dyDescent="0.35">
      <c r="A113" s="23">
        <v>46095</v>
      </c>
      <c r="B113" s="19" t="str">
        <f t="shared" si="3"/>
        <v>marzo</v>
      </c>
      <c r="C113" s="19" t="str">
        <f t="shared" si="6"/>
        <v>2026</v>
      </c>
      <c r="D113" s="24" t="s">
        <v>207</v>
      </c>
      <c r="E113" s="25" t="s">
        <v>27</v>
      </c>
      <c r="F113" s="25" t="s">
        <v>201</v>
      </c>
      <c r="G113" s="24">
        <v>407</v>
      </c>
      <c r="H113" s="19" t="str">
        <f>IF(LEN(G113)=0,"",VLOOKUP(G113,Issues!A:D,2,FALSE))</f>
        <v>(400) Portales / Web-App</v>
      </c>
      <c r="I113" s="20" t="str">
        <f>IF(LEN(G113)=0,"",VLOOKUP(G113,Issues!A:D,3,FALSE))</f>
        <v>No funciona la interaccion.</v>
      </c>
      <c r="J113" s="19" t="str">
        <f>IF(LEN(G113)=0,"",VLOOKUP(G113,Issues!A:D,4,FALSE))</f>
        <v>Critico</v>
      </c>
      <c r="K113" s="21" t="str">
        <f t="shared" si="5"/>
        <v>Issue</v>
      </c>
    </row>
    <row r="114" spans="1:11" x14ac:dyDescent="0.35">
      <c r="A114" s="23">
        <v>46096</v>
      </c>
      <c r="B114" s="19" t="str">
        <f t="shared" si="3"/>
        <v>marzo</v>
      </c>
      <c r="C114" s="19" t="str">
        <f t="shared" si="6"/>
        <v>2026</v>
      </c>
      <c r="D114" s="24" t="s">
        <v>207</v>
      </c>
      <c r="E114" s="25" t="s">
        <v>19</v>
      </c>
      <c r="F114" s="25" t="s">
        <v>185</v>
      </c>
      <c r="G114" s="24">
        <v>506</v>
      </c>
      <c r="H114" s="19" t="str">
        <f>IF(LEN(G114)=0,"",VLOOKUP(G114,Issues!A:D,2,FALSE))</f>
        <v>(500) Baja / Cancelacion</v>
      </c>
      <c r="I114" s="20" t="str">
        <f>IF(LEN(G114)=0,"",VLOOKUP(G114,Issues!A:D,3,FALSE))</f>
        <v>No funciona la baja desde ivr.</v>
      </c>
      <c r="J114" s="19" t="str">
        <f>IF(LEN(G114)=0,"",VLOOKUP(G114,Issues!A:D,4,FALSE))</f>
        <v>Critico</v>
      </c>
      <c r="K114" s="21" t="str">
        <f t="shared" si="5"/>
        <v>Issue</v>
      </c>
    </row>
    <row r="115" spans="1:11" x14ac:dyDescent="0.35">
      <c r="A115" s="23">
        <v>46095</v>
      </c>
      <c r="B115" s="19" t="str">
        <f t="shared" si="3"/>
        <v>marzo</v>
      </c>
      <c r="C115" s="19" t="str">
        <f t="shared" si="6"/>
        <v>2026</v>
      </c>
      <c r="D115" s="24" t="s">
        <v>206</v>
      </c>
      <c r="E115" s="25" t="s">
        <v>10</v>
      </c>
      <c r="F115" s="25" t="s">
        <v>162</v>
      </c>
      <c r="G115" s="24">
        <v>700</v>
      </c>
      <c r="H115" s="19" t="str">
        <f>IF(LEN(G115)=0,"",VLOOKUP(G115,Issues!A:D,2,FALSE))</f>
        <v>(700) Interaccion MO/MT (On Demand)</v>
      </c>
      <c r="I115" s="20" t="str">
        <f>IF(LEN(G115)=0,"",VLOOKUP(G115,Issues!A:D,3,FALSE))</f>
        <v>Flujo MO/MT con éxito.</v>
      </c>
      <c r="J115" s="19" t="str">
        <f>IF(LEN(G115)=0,"",VLOOKUP(G115,Issues!A:D,4,FALSE))</f>
        <v>Prueba OK</v>
      </c>
      <c r="K115" s="21" t="str">
        <f t="shared" si="5"/>
        <v>OK</v>
      </c>
    </row>
    <row r="116" spans="1:11" x14ac:dyDescent="0.35">
      <c r="A116" s="23">
        <v>46134</v>
      </c>
      <c r="B116" s="19" t="str">
        <f t="shared" si="3"/>
        <v>abril</v>
      </c>
      <c r="C116" s="19" t="str">
        <f t="shared" si="6"/>
        <v>2026</v>
      </c>
      <c r="D116" s="24" t="s">
        <v>207</v>
      </c>
      <c r="E116" s="25" t="s">
        <v>22</v>
      </c>
      <c r="F116" s="25" t="s">
        <v>150</v>
      </c>
      <c r="G116" s="24">
        <v>500</v>
      </c>
      <c r="H116" s="19" t="str">
        <f>IF(LEN(G116)=0,"",VLOOKUP(G116,Issues!A:D,2,FALSE))</f>
        <v>(500) Baja / Cancelacion</v>
      </c>
      <c r="I116" s="20" t="str">
        <f>IF(LEN(G116)=0,"",VLOOKUP(G116,Issues!A:D,3,FALSE))</f>
        <v>Baja con éxito.</v>
      </c>
      <c r="J116" s="19" t="str">
        <f>IF(LEN(G116)=0,"",VLOOKUP(G116,Issues!A:D,4,FALSE))</f>
        <v>Prueba OK</v>
      </c>
      <c r="K116" s="21" t="str">
        <f t="shared" si="5"/>
        <v>OK</v>
      </c>
    </row>
    <row r="117" spans="1:11" x14ac:dyDescent="0.35">
      <c r="A117" s="23">
        <v>46063</v>
      </c>
      <c r="B117" s="19" t="str">
        <f t="shared" si="3"/>
        <v>febrero</v>
      </c>
      <c r="C117" s="19" t="str">
        <f t="shared" si="6"/>
        <v>2026</v>
      </c>
      <c r="D117" s="24" t="s">
        <v>206</v>
      </c>
      <c r="E117" s="25" t="s">
        <v>10</v>
      </c>
      <c r="F117" s="25" t="s">
        <v>161</v>
      </c>
      <c r="G117" s="24">
        <v>700</v>
      </c>
      <c r="H117" s="19" t="str">
        <f>IF(LEN(G117)=0,"",VLOOKUP(G117,Issues!A:D,2,FALSE))</f>
        <v>(700) Interaccion MO/MT (On Demand)</v>
      </c>
      <c r="I117" s="20" t="str">
        <f>IF(LEN(G117)=0,"",VLOOKUP(G117,Issues!A:D,3,FALSE))</f>
        <v>Flujo MO/MT con éxito.</v>
      </c>
      <c r="J117" s="19" t="str">
        <f>IF(LEN(G117)=0,"",VLOOKUP(G117,Issues!A:D,4,FALSE))</f>
        <v>Prueba OK</v>
      </c>
      <c r="K117" s="21" t="str">
        <f t="shared" si="5"/>
        <v>OK</v>
      </c>
    </row>
    <row r="118" spans="1:11" x14ac:dyDescent="0.35">
      <c r="A118" s="23">
        <v>46056</v>
      </c>
      <c r="B118" s="19" t="str">
        <f t="shared" si="3"/>
        <v>febrero</v>
      </c>
      <c r="C118" s="19" t="str">
        <f t="shared" si="6"/>
        <v>2026</v>
      </c>
      <c r="D118" s="24" t="s">
        <v>207</v>
      </c>
      <c r="E118" s="25" t="s">
        <v>23</v>
      </c>
      <c r="F118" s="25" t="s">
        <v>194</v>
      </c>
      <c r="G118" s="24">
        <v>300</v>
      </c>
      <c r="H118" s="19" t="str">
        <f>IF(LEN(G118)=0,"",VLOOKUP(G118,Issues!A:D,2,FALSE))</f>
        <v>(300) Cobros</v>
      </c>
      <c r="I118" s="20" t="str">
        <f>IF(LEN(G118)=0,"",VLOOKUP(G118,Issues!A:D,3,FALSE))</f>
        <v>Cobro en valor y forma correcto.</v>
      </c>
      <c r="J118" s="19" t="str">
        <f>IF(LEN(G118)=0,"",VLOOKUP(G118,Issues!A:D,4,FALSE))</f>
        <v>Prueba OK</v>
      </c>
      <c r="K118" s="21" t="str">
        <f t="shared" si="5"/>
        <v>OK</v>
      </c>
    </row>
    <row r="119" spans="1:11" x14ac:dyDescent="0.35">
      <c r="A119" s="23">
        <v>46041</v>
      </c>
      <c r="B119" s="19" t="str">
        <f t="shared" si="3"/>
        <v>enero</v>
      </c>
      <c r="C119" s="19" t="str">
        <f t="shared" si="6"/>
        <v>2026</v>
      </c>
      <c r="D119" s="24" t="s">
        <v>206</v>
      </c>
      <c r="E119" s="25" t="s">
        <v>24</v>
      </c>
      <c r="F119" s="25" t="s">
        <v>155</v>
      </c>
      <c r="G119" s="24">
        <v>700</v>
      </c>
      <c r="H119" s="19" t="str">
        <f>IF(LEN(G119)=0,"",VLOOKUP(G119,Issues!A:D,2,FALSE))</f>
        <v>(700) Interaccion MO/MT (On Demand)</v>
      </c>
      <c r="I119" s="20" t="str">
        <f>IF(LEN(G119)=0,"",VLOOKUP(G119,Issues!A:D,3,FALSE))</f>
        <v>Flujo MO/MT con éxito.</v>
      </c>
      <c r="J119" s="19" t="str">
        <f>IF(LEN(G119)=0,"",VLOOKUP(G119,Issues!A:D,4,FALSE))</f>
        <v>Prueba OK</v>
      </c>
      <c r="K119" s="21" t="str">
        <f t="shared" si="5"/>
        <v>OK</v>
      </c>
    </row>
    <row r="120" spans="1:11" x14ac:dyDescent="0.35">
      <c r="A120" s="23">
        <v>46112</v>
      </c>
      <c r="B120" s="19" t="str">
        <f t="shared" si="3"/>
        <v>marzo</v>
      </c>
      <c r="C120" s="19" t="str">
        <f t="shared" si="6"/>
        <v>2026</v>
      </c>
      <c r="D120" s="24" t="s">
        <v>206</v>
      </c>
      <c r="E120" s="25" t="s">
        <v>17</v>
      </c>
      <c r="F120" s="25" t="s">
        <v>181</v>
      </c>
      <c r="G120" s="24">
        <v>500</v>
      </c>
      <c r="H120" s="19" t="str">
        <f>IF(LEN(G120)=0,"",VLOOKUP(G120,Issues!A:D,2,FALSE))</f>
        <v>(500) Baja / Cancelacion</v>
      </c>
      <c r="I120" s="20" t="str">
        <f>IF(LEN(G120)=0,"",VLOOKUP(G120,Issues!A:D,3,FALSE))</f>
        <v>Baja con éxito.</v>
      </c>
      <c r="J120" s="19" t="str">
        <f>IF(LEN(G120)=0,"",VLOOKUP(G120,Issues!A:D,4,FALSE))</f>
        <v>Prueba OK</v>
      </c>
      <c r="K120" s="21" t="str">
        <f t="shared" si="5"/>
        <v>OK</v>
      </c>
    </row>
    <row r="121" spans="1:11" x14ac:dyDescent="0.35">
      <c r="A121" s="23">
        <v>46096</v>
      </c>
      <c r="B121" s="19" t="str">
        <f t="shared" si="3"/>
        <v>marzo</v>
      </c>
      <c r="C121" s="19" t="str">
        <f t="shared" si="6"/>
        <v>2026</v>
      </c>
      <c r="D121" s="24" t="s">
        <v>206</v>
      </c>
      <c r="E121" s="25" t="s">
        <v>18</v>
      </c>
      <c r="F121" s="25" t="s">
        <v>182</v>
      </c>
      <c r="G121" s="24">
        <v>503</v>
      </c>
      <c r="H121" s="19" t="str">
        <f>IF(LEN(G121)=0,"",VLOOKUP(G121,Issues!A:D,2,FALSE))</f>
        <v>(500) Baja / Cancelacion</v>
      </c>
      <c r="I121" s="20" t="str">
        <f>IF(LEN(G121)=0,"",VLOOKUP(G121,Issues!A:D,3,FALSE))</f>
        <v>Dio de baja en sms pero sigue activo en la plataforma.</v>
      </c>
      <c r="J121" s="19" t="str">
        <f>IF(LEN(G121)=0,"",VLOOKUP(G121,Issues!A:D,4,FALSE))</f>
        <v>Critico</v>
      </c>
      <c r="K121" s="21" t="str">
        <f t="shared" si="5"/>
        <v>Issue</v>
      </c>
    </row>
    <row r="122" spans="1:11" x14ac:dyDescent="0.35">
      <c r="A122" s="23">
        <v>46073</v>
      </c>
      <c r="B122" s="19" t="str">
        <f t="shared" si="3"/>
        <v>febrero</v>
      </c>
      <c r="C122" s="19" t="str">
        <f t="shared" si="6"/>
        <v>2026</v>
      </c>
      <c r="D122" s="24" t="s">
        <v>206</v>
      </c>
      <c r="E122" s="25" t="s">
        <v>11</v>
      </c>
      <c r="F122" s="25" t="s">
        <v>165</v>
      </c>
      <c r="G122" s="24">
        <v>700</v>
      </c>
      <c r="H122" s="19" t="str">
        <f>IF(LEN(G122)=0,"",VLOOKUP(G122,Issues!A:D,2,FALSE))</f>
        <v>(700) Interaccion MO/MT (On Demand)</v>
      </c>
      <c r="I122" s="20" t="str">
        <f>IF(LEN(G122)=0,"",VLOOKUP(G122,Issues!A:D,3,FALSE))</f>
        <v>Flujo MO/MT con éxito.</v>
      </c>
      <c r="J122" s="19" t="str">
        <f>IF(LEN(G122)=0,"",VLOOKUP(G122,Issues!A:D,4,FALSE))</f>
        <v>Prueba OK</v>
      </c>
      <c r="K122" s="21" t="str">
        <f t="shared" si="5"/>
        <v>OK</v>
      </c>
    </row>
    <row r="123" spans="1:11" x14ac:dyDescent="0.35">
      <c r="A123" s="23">
        <v>46126</v>
      </c>
      <c r="B123" s="19" t="str">
        <f t="shared" si="3"/>
        <v>abril</v>
      </c>
      <c r="C123" s="19" t="str">
        <f t="shared" si="6"/>
        <v>2026</v>
      </c>
      <c r="D123" s="24" t="s">
        <v>205</v>
      </c>
      <c r="E123" s="25" t="s">
        <v>20</v>
      </c>
      <c r="F123" s="25" t="s">
        <v>189</v>
      </c>
      <c r="G123" s="24">
        <v>500</v>
      </c>
      <c r="H123" s="19" t="str">
        <f>IF(LEN(G123)=0,"",VLOOKUP(G123,Issues!A:D,2,FALSE))</f>
        <v>(500) Baja / Cancelacion</v>
      </c>
      <c r="I123" s="20" t="str">
        <f>IF(LEN(G123)=0,"",VLOOKUP(G123,Issues!A:D,3,FALSE))</f>
        <v>Baja con éxito.</v>
      </c>
      <c r="J123" s="19" t="str">
        <f>IF(LEN(G123)=0,"",VLOOKUP(G123,Issues!A:D,4,FALSE))</f>
        <v>Prueba OK</v>
      </c>
      <c r="K123" s="21" t="str">
        <f t="shared" si="5"/>
        <v>OK</v>
      </c>
    </row>
    <row r="124" spans="1:11" x14ac:dyDescent="0.35">
      <c r="A124" s="23">
        <v>46035</v>
      </c>
      <c r="B124" s="19" t="str">
        <f t="shared" si="3"/>
        <v>enero</v>
      </c>
      <c r="C124" s="19" t="str">
        <f t="shared" si="6"/>
        <v>2026</v>
      </c>
      <c r="D124" s="24" t="s">
        <v>206</v>
      </c>
      <c r="E124" s="25" t="s">
        <v>10</v>
      </c>
      <c r="F124" s="25" t="s">
        <v>161</v>
      </c>
      <c r="G124" s="24">
        <v>300</v>
      </c>
      <c r="H124" s="19" t="str">
        <f>IF(LEN(G124)=0,"",VLOOKUP(G124,Issues!A:D,2,FALSE))</f>
        <v>(300) Cobros</v>
      </c>
      <c r="I124" s="20" t="str">
        <f>IF(LEN(G124)=0,"",VLOOKUP(G124,Issues!A:D,3,FALSE))</f>
        <v>Cobro en valor y forma correcto.</v>
      </c>
      <c r="J124" s="19" t="str">
        <f>IF(LEN(G124)=0,"",VLOOKUP(G124,Issues!A:D,4,FALSE))</f>
        <v>Prueba OK</v>
      </c>
      <c r="K124" s="21" t="str">
        <f t="shared" si="5"/>
        <v>OK</v>
      </c>
    </row>
    <row r="125" spans="1:11" x14ac:dyDescent="0.35">
      <c r="A125" s="23">
        <v>46044</v>
      </c>
      <c r="B125" s="19" t="str">
        <f t="shared" si="3"/>
        <v>enero</v>
      </c>
      <c r="C125" s="19" t="str">
        <f t="shared" si="6"/>
        <v>2026</v>
      </c>
      <c r="D125" s="24" t="s">
        <v>207</v>
      </c>
      <c r="E125" s="25" t="s">
        <v>11</v>
      </c>
      <c r="F125" s="25" t="s">
        <v>164</v>
      </c>
      <c r="G125" s="24">
        <v>700</v>
      </c>
      <c r="H125" s="19" t="str">
        <f>IF(LEN(G125)=0,"",VLOOKUP(G125,Issues!A:D,2,FALSE))</f>
        <v>(700) Interaccion MO/MT (On Demand)</v>
      </c>
      <c r="I125" s="20" t="str">
        <f>IF(LEN(G125)=0,"",VLOOKUP(G125,Issues!A:D,3,FALSE))</f>
        <v>Flujo MO/MT con éxito.</v>
      </c>
      <c r="J125" s="19" t="str">
        <f>IF(LEN(G125)=0,"",VLOOKUP(G125,Issues!A:D,4,FALSE))</f>
        <v>Prueba OK</v>
      </c>
      <c r="K125" s="21" t="str">
        <f t="shared" si="5"/>
        <v>OK</v>
      </c>
    </row>
    <row r="126" spans="1:11" x14ac:dyDescent="0.35">
      <c r="A126" s="23">
        <v>46101</v>
      </c>
      <c r="B126" s="19" t="str">
        <f t="shared" si="3"/>
        <v>marzo</v>
      </c>
      <c r="C126" s="19" t="str">
        <f t="shared" si="6"/>
        <v>2026</v>
      </c>
      <c r="D126" s="24" t="s">
        <v>207</v>
      </c>
      <c r="E126" s="25" t="s">
        <v>12</v>
      </c>
      <c r="F126" s="25" t="s">
        <v>167</v>
      </c>
      <c r="G126" s="24">
        <v>800</v>
      </c>
      <c r="H126" s="19" t="str">
        <f>IF(LEN(G126)=0,"",VLOOKUP(G126,Issues!A:D,2,FALSE))</f>
        <v>(800) Politicas especiales operadores</v>
      </c>
      <c r="I126" s="20" t="str">
        <f>IF(LEN(G126)=0,"",VLOOKUP(G126,Issues!A:D,3,FALSE))</f>
        <v>Politicas de los operadores cumplidas.</v>
      </c>
      <c r="J126" s="19" t="str">
        <f>IF(LEN(G126)=0,"",VLOOKUP(G126,Issues!A:D,4,FALSE))</f>
        <v>Prueba OK</v>
      </c>
      <c r="K126" s="21" t="str">
        <f t="shared" si="5"/>
        <v>OK</v>
      </c>
    </row>
    <row r="127" spans="1:11" x14ac:dyDescent="0.35">
      <c r="A127" s="23">
        <v>46081</v>
      </c>
      <c r="B127" s="19" t="str">
        <f t="shared" si="3"/>
        <v>febrero</v>
      </c>
      <c r="C127" s="19" t="str">
        <f t="shared" si="6"/>
        <v>2026</v>
      </c>
      <c r="D127" s="24" t="s">
        <v>206</v>
      </c>
      <c r="E127" s="25" t="s">
        <v>20</v>
      </c>
      <c r="F127" s="25" t="s">
        <v>188</v>
      </c>
      <c r="G127" s="24">
        <v>204</v>
      </c>
      <c r="H127" s="19" t="str">
        <f>IF(LEN(G127)=0,"",VLOOKUP(G127,Issues!A:D,2,FALSE))</f>
        <v>(200) Contenidos</v>
      </c>
      <c r="I127" s="20" t="str">
        <f>IF(LEN(G127)=0,"",VLOOKUP(G127,Issues!A:D,3,FALSE))</f>
        <v>Error/inconsistencia en t&amp;c en sms.</v>
      </c>
      <c r="J127" s="19" t="str">
        <f>IF(LEN(G127)=0,"",VLOOKUP(G127,Issues!A:D,4,FALSE))</f>
        <v>Critico</v>
      </c>
      <c r="K127" s="21" t="str">
        <f t="shared" si="5"/>
        <v>Issue</v>
      </c>
    </row>
    <row r="128" spans="1:11" x14ac:dyDescent="0.35">
      <c r="A128" s="23">
        <v>46142</v>
      </c>
      <c r="B128" s="19" t="str">
        <f t="shared" si="3"/>
        <v>abril</v>
      </c>
      <c r="C128" s="19" t="str">
        <f t="shared" si="6"/>
        <v>2026</v>
      </c>
      <c r="D128" s="24" t="s">
        <v>206</v>
      </c>
      <c r="E128" s="25" t="s">
        <v>25</v>
      </c>
      <c r="F128" s="25" t="s">
        <v>197</v>
      </c>
      <c r="G128" s="24">
        <v>304</v>
      </c>
      <c r="H128" s="19" t="str">
        <f>IF(LEN(G128)=0,"",VLOOKUP(G128,Issues!A:D,2,FALSE))</f>
        <v>(300) Cobros</v>
      </c>
      <c r="I128" s="20" t="str">
        <f>IF(LEN(G128)=0,"",VLOOKUP(G128,Issues!A:D,3,FALSE))</f>
        <v>Cobro valor diferente al autorizado.</v>
      </c>
      <c r="J128" s="19" t="str">
        <f>IF(LEN(G128)=0,"",VLOOKUP(G128,Issues!A:D,4,FALSE))</f>
        <v>Critico</v>
      </c>
      <c r="K128" s="21" t="str">
        <f t="shared" si="5"/>
        <v>Issue</v>
      </c>
    </row>
    <row r="129" spans="1:11" x14ac:dyDescent="0.35">
      <c r="A129" s="23">
        <v>46129</v>
      </c>
      <c r="B129" s="19" t="str">
        <f t="shared" si="3"/>
        <v>abril</v>
      </c>
      <c r="C129" s="19" t="str">
        <f t="shared" si="6"/>
        <v>2026</v>
      </c>
      <c r="D129" s="24" t="s">
        <v>206</v>
      </c>
      <c r="E129" s="25" t="s">
        <v>24</v>
      </c>
      <c r="F129" s="25" t="s">
        <v>151</v>
      </c>
      <c r="G129" s="24">
        <v>300</v>
      </c>
      <c r="H129" s="19" t="str">
        <f>IF(LEN(G129)=0,"",VLOOKUP(G129,Issues!A:D,2,FALSE))</f>
        <v>(300) Cobros</v>
      </c>
      <c r="I129" s="20" t="str">
        <f>IF(LEN(G129)=0,"",VLOOKUP(G129,Issues!A:D,3,FALSE))</f>
        <v>Cobro en valor y forma correcto.</v>
      </c>
      <c r="J129" s="19" t="str">
        <f>IF(LEN(G129)=0,"",VLOOKUP(G129,Issues!A:D,4,FALSE))</f>
        <v>Prueba OK</v>
      </c>
      <c r="K129" s="21" t="str">
        <f t="shared" si="5"/>
        <v>OK</v>
      </c>
    </row>
    <row r="130" spans="1:11" x14ac:dyDescent="0.35">
      <c r="A130" s="23">
        <v>46059</v>
      </c>
      <c r="B130" s="19" t="str">
        <f t="shared" si="3"/>
        <v>febrero</v>
      </c>
      <c r="C130" s="19" t="str">
        <f t="shared" si="6"/>
        <v>2026</v>
      </c>
      <c r="D130" s="24" t="s">
        <v>206</v>
      </c>
      <c r="E130" s="25" t="s">
        <v>23</v>
      </c>
      <c r="F130" s="25" t="s">
        <v>195</v>
      </c>
      <c r="G130" s="24">
        <v>205</v>
      </c>
      <c r="H130" s="19" t="str">
        <f>IF(LEN(G130)=0,"",VLOOKUP(G130,Issues!A:D,2,FALSE))</f>
        <v>(200) Contenidos</v>
      </c>
      <c r="I130" s="20" t="str">
        <f>IF(LEN(G130)=0,"",VLOOKUP(G130,Issues!A:D,3,FALSE))</f>
        <v>Llego contenido de otro club.</v>
      </c>
      <c r="J130" s="19" t="str">
        <f>IF(LEN(G130)=0,"",VLOOKUP(G130,Issues!A:D,4,FALSE))</f>
        <v>Critico</v>
      </c>
      <c r="K130" s="21" t="str">
        <f t="shared" si="5"/>
        <v>Issue</v>
      </c>
    </row>
    <row r="131" spans="1:11" x14ac:dyDescent="0.35">
      <c r="A131" s="23">
        <v>46025</v>
      </c>
      <c r="B131" s="19" t="str">
        <f t="shared" ref="B131:B194" si="7">IF(LEN(A131)=0,"",TEXT(A131,"mmmm"))</f>
        <v>enero</v>
      </c>
      <c r="C131" s="19" t="str">
        <f t="shared" si="6"/>
        <v>2026</v>
      </c>
      <c r="D131" s="24" t="s">
        <v>207</v>
      </c>
      <c r="E131" s="25" t="s">
        <v>12</v>
      </c>
      <c r="F131" s="25" t="s">
        <v>168</v>
      </c>
      <c r="G131" s="24">
        <v>400</v>
      </c>
      <c r="H131" s="19" t="str">
        <f>IF(LEN(G131)=0,"",VLOOKUP(G131,Issues!A:D,2,FALSE))</f>
        <v>(400) Portales / Web-App</v>
      </c>
      <c r="I131" s="20" t="str">
        <f>IF(LEN(G131)=0,"",VLOOKUP(G131,Issues!A:D,3,FALSE))</f>
        <v>Portal evaluado con éxito.</v>
      </c>
      <c r="J131" s="19" t="str">
        <f>IF(LEN(G131)=0,"",VLOOKUP(G131,Issues!A:D,4,FALSE))</f>
        <v>Prueba OK</v>
      </c>
      <c r="K131" s="21" t="str">
        <f t="shared" ref="K131:K194" si="8">IF(LEN(G131)=0,"",IF(OR(J131="critico",J131="Medio",J131="Bajo"),"Issue",IF(J131="Prueba OK","OK","")))</f>
        <v>OK</v>
      </c>
    </row>
    <row r="132" spans="1:11" x14ac:dyDescent="0.35">
      <c r="A132" s="23">
        <v>46112</v>
      </c>
      <c r="B132" s="19" t="str">
        <f t="shared" si="7"/>
        <v>marzo</v>
      </c>
      <c r="C132" s="19" t="str">
        <f t="shared" si="6"/>
        <v>2026</v>
      </c>
      <c r="D132" s="24" t="s">
        <v>206</v>
      </c>
      <c r="E132" s="25" t="s">
        <v>17</v>
      </c>
      <c r="F132" s="25" t="s">
        <v>180</v>
      </c>
      <c r="G132" s="24">
        <v>501</v>
      </c>
      <c r="H132" s="19" t="str">
        <f>IF(LEN(G132)=0,"",VLOOKUP(G132,Issues!A:D,2,FALSE))</f>
        <v>(500) Baja / Cancelacion</v>
      </c>
      <c r="I132" s="20" t="str">
        <f>IF(LEN(G132)=0,"",VLOOKUP(G132,Issues!A:D,3,FALSE))</f>
        <v>No funciona el comando de baja.</v>
      </c>
      <c r="J132" s="19" t="str">
        <f>IF(LEN(G132)=0,"",VLOOKUP(G132,Issues!A:D,4,FALSE))</f>
        <v>Critico</v>
      </c>
      <c r="K132" s="21" t="str">
        <f t="shared" si="8"/>
        <v>Issue</v>
      </c>
    </row>
    <row r="133" spans="1:11" x14ac:dyDescent="0.35">
      <c r="A133" s="23">
        <v>46073</v>
      </c>
      <c r="B133" s="19" t="str">
        <f t="shared" si="7"/>
        <v>febrero</v>
      </c>
      <c r="C133" s="19" t="str">
        <f t="shared" si="6"/>
        <v>2026</v>
      </c>
      <c r="D133" s="24" t="s">
        <v>206</v>
      </c>
      <c r="E133" s="25" t="s">
        <v>21</v>
      </c>
      <c r="F133" s="25" t="s">
        <v>191</v>
      </c>
      <c r="G133" s="24">
        <v>502</v>
      </c>
      <c r="H133" s="19" t="str">
        <f>IF(LEN(G133)=0,"",VLOOKUP(G133,Issues!A:D,2,FALSE))</f>
        <v>(500) Baja / Cancelacion</v>
      </c>
      <c r="I133" s="20" t="str">
        <f>IF(LEN(G133)=0,"",VLOOKUP(G133,Issues!A:D,3,FALSE))</f>
        <v>No entrega el mt de baja.</v>
      </c>
      <c r="J133" s="19" t="str">
        <f>IF(LEN(G133)=0,"",VLOOKUP(G133,Issues!A:D,4,FALSE))</f>
        <v>Critico</v>
      </c>
      <c r="K133" s="21" t="str">
        <f t="shared" si="8"/>
        <v>Issue</v>
      </c>
    </row>
    <row r="134" spans="1:11" x14ac:dyDescent="0.35">
      <c r="A134" s="23">
        <v>46120</v>
      </c>
      <c r="B134" s="19" t="str">
        <f t="shared" si="7"/>
        <v>abril</v>
      </c>
      <c r="C134" s="19" t="str">
        <f t="shared" si="6"/>
        <v>2026</v>
      </c>
      <c r="D134" s="24" t="s">
        <v>206</v>
      </c>
      <c r="E134" s="25" t="s">
        <v>23</v>
      </c>
      <c r="F134" s="25" t="s">
        <v>196</v>
      </c>
      <c r="G134" s="24">
        <v>500</v>
      </c>
      <c r="H134" s="19" t="str">
        <f>IF(LEN(G134)=0,"",VLOOKUP(G134,Issues!A:D,2,FALSE))</f>
        <v>(500) Baja / Cancelacion</v>
      </c>
      <c r="I134" s="20" t="str">
        <f>IF(LEN(G134)=0,"",VLOOKUP(G134,Issues!A:D,3,FALSE))</f>
        <v>Baja con éxito.</v>
      </c>
      <c r="J134" s="19" t="str">
        <f>IF(LEN(G134)=0,"",VLOOKUP(G134,Issues!A:D,4,FALSE))</f>
        <v>Prueba OK</v>
      </c>
      <c r="K134" s="21" t="str">
        <f t="shared" si="8"/>
        <v>OK</v>
      </c>
    </row>
    <row r="135" spans="1:11" x14ac:dyDescent="0.35">
      <c r="A135" s="23">
        <v>46054</v>
      </c>
      <c r="B135" s="19" t="str">
        <f t="shared" si="7"/>
        <v>febrero</v>
      </c>
      <c r="C135" s="19" t="str">
        <f t="shared" si="6"/>
        <v>2026</v>
      </c>
      <c r="D135" s="24" t="s">
        <v>206</v>
      </c>
      <c r="E135" s="25" t="s">
        <v>22</v>
      </c>
      <c r="F135" s="25" t="s">
        <v>154</v>
      </c>
      <c r="G135" s="24">
        <v>403</v>
      </c>
      <c r="H135" s="19" t="str">
        <f>IF(LEN(G135)=0,"",VLOOKUP(G135,Issues!A:D,2,FALSE))</f>
        <v>(400) Portales / Web-App</v>
      </c>
      <c r="I135" s="20" t="str">
        <f>IF(LEN(G135)=0,"",VLOOKUP(G135,Issues!A:D,3,FALSE))</f>
        <v>Portal desactualizado.</v>
      </c>
      <c r="J135" s="19" t="str">
        <f>IF(LEN(G135)=0,"",VLOOKUP(G135,Issues!A:D,4,FALSE))</f>
        <v>Medio</v>
      </c>
      <c r="K135" s="21" t="str">
        <f t="shared" si="8"/>
        <v>Issue</v>
      </c>
    </row>
    <row r="136" spans="1:11" x14ac:dyDescent="0.35">
      <c r="A136" s="23">
        <v>46081</v>
      </c>
      <c r="B136" s="19" t="str">
        <f t="shared" si="7"/>
        <v>febrero</v>
      </c>
      <c r="C136" s="19" t="str">
        <f t="shared" si="6"/>
        <v>2026</v>
      </c>
      <c r="D136" s="24" t="s">
        <v>207</v>
      </c>
      <c r="E136" s="25" t="s">
        <v>16</v>
      </c>
      <c r="F136" s="25" t="s">
        <v>178</v>
      </c>
      <c r="G136" s="24">
        <v>203</v>
      </c>
      <c r="H136" s="19" t="str">
        <f>IF(LEN(G136)=0,"",VLOOKUP(G136,Issues!A:D,2,FALSE))</f>
        <v>(200) Contenidos</v>
      </c>
      <c r="I136" s="20" t="str">
        <f>IF(LEN(G136)=0,"",VLOOKUP(G136,Issues!A:D,3,FALSE))</f>
        <v>Entrega de mensajeria sms con delay.</v>
      </c>
      <c r="J136" s="19" t="str">
        <f>IF(LEN(G136)=0,"",VLOOKUP(G136,Issues!A:D,4,FALSE))</f>
        <v>Bajo</v>
      </c>
      <c r="K136" s="21" t="str">
        <f t="shared" si="8"/>
        <v>Issue</v>
      </c>
    </row>
    <row r="137" spans="1:11" x14ac:dyDescent="0.35">
      <c r="A137" s="23">
        <v>46042</v>
      </c>
      <c r="B137" s="19" t="str">
        <f t="shared" si="7"/>
        <v>enero</v>
      </c>
      <c r="C137" s="19" t="str">
        <f t="shared" si="6"/>
        <v>2026</v>
      </c>
      <c r="D137" s="24" t="s">
        <v>207</v>
      </c>
      <c r="E137" s="25" t="s">
        <v>16</v>
      </c>
      <c r="F137" s="25" t="s">
        <v>178</v>
      </c>
      <c r="G137" s="24">
        <v>103</v>
      </c>
      <c r="H137" s="19" t="str">
        <f>IF(LEN(G137)=0,"",VLOOKUP(G137,Issues!A:D,2,FALSE))</f>
        <v>(100)  Alta</v>
      </c>
      <c r="I137" s="20" t="str">
        <f>IF(LEN(G137)=0,"",VLOOKUP(G137,Issues!A:D,3,FALSE))</f>
        <v>Inconsistencia en el welcome.</v>
      </c>
      <c r="J137" s="19" t="str">
        <f>IF(LEN(G137)=0,"",VLOOKUP(G137,Issues!A:D,4,FALSE))</f>
        <v>Critico</v>
      </c>
      <c r="K137" s="21" t="str">
        <f t="shared" si="8"/>
        <v>Issue</v>
      </c>
    </row>
    <row r="138" spans="1:11" x14ac:dyDescent="0.35">
      <c r="A138" s="23">
        <v>46148</v>
      </c>
      <c r="B138" s="19" t="str">
        <f t="shared" si="7"/>
        <v>mayo</v>
      </c>
      <c r="C138" s="19" t="str">
        <f t="shared" si="6"/>
        <v>2026</v>
      </c>
      <c r="D138" s="24" t="s">
        <v>206</v>
      </c>
      <c r="E138" s="25" t="s">
        <v>13</v>
      </c>
      <c r="F138" s="25" t="s">
        <v>149</v>
      </c>
      <c r="G138" s="24">
        <v>208</v>
      </c>
      <c r="H138" s="19" t="str">
        <f>IF(LEN(G138)=0,"",VLOOKUP(G138,Issues!A:D,2,FALSE))</f>
        <v>(200) Contenidos</v>
      </c>
      <c r="I138" s="20" t="str">
        <f>IF(LEN(G138)=0,"",VLOOKUP(G138,Issues!A:D,3,FALSE))</f>
        <v>No cumple las politicas de estructura del operador.</v>
      </c>
      <c r="J138" s="19" t="str">
        <f>IF(LEN(G138)=0,"",VLOOKUP(G138,Issues!A:D,4,FALSE))</f>
        <v>Critico</v>
      </c>
      <c r="K138" s="21" t="str">
        <f t="shared" si="8"/>
        <v>Issue</v>
      </c>
    </row>
    <row r="139" spans="1:11" x14ac:dyDescent="0.35">
      <c r="A139" s="23">
        <v>46033</v>
      </c>
      <c r="B139" s="19" t="str">
        <f t="shared" si="7"/>
        <v>enero</v>
      </c>
      <c r="C139" s="19" t="str">
        <f t="shared" si="6"/>
        <v>2026</v>
      </c>
      <c r="D139" s="24" t="s">
        <v>206</v>
      </c>
      <c r="E139" s="25" t="s">
        <v>20</v>
      </c>
      <c r="F139" s="25" t="s">
        <v>190</v>
      </c>
      <c r="G139" s="24">
        <v>502</v>
      </c>
      <c r="H139" s="19" t="str">
        <f>IF(LEN(G139)=0,"",VLOOKUP(G139,Issues!A:D,2,FALSE))</f>
        <v>(500) Baja / Cancelacion</v>
      </c>
      <c r="I139" s="20" t="str">
        <f>IF(LEN(G139)=0,"",VLOOKUP(G139,Issues!A:D,3,FALSE))</f>
        <v>No entrega el mt de baja.</v>
      </c>
      <c r="J139" s="19" t="str">
        <f>IF(LEN(G139)=0,"",VLOOKUP(G139,Issues!A:D,4,FALSE))</f>
        <v>Critico</v>
      </c>
      <c r="K139" s="21" t="str">
        <f t="shared" si="8"/>
        <v>Issue</v>
      </c>
    </row>
    <row r="140" spans="1:11" x14ac:dyDescent="0.35">
      <c r="A140" s="23">
        <v>46079</v>
      </c>
      <c r="B140" s="19" t="str">
        <f t="shared" si="7"/>
        <v>febrero</v>
      </c>
      <c r="C140" s="19" t="str">
        <f t="shared" si="6"/>
        <v>2026</v>
      </c>
      <c r="D140" s="24" t="s">
        <v>206</v>
      </c>
      <c r="E140" s="25" t="s">
        <v>20</v>
      </c>
      <c r="F140" s="25" t="s">
        <v>189</v>
      </c>
      <c r="G140" s="24">
        <v>304</v>
      </c>
      <c r="H140" s="19" t="str">
        <f>IF(LEN(G140)=0,"",VLOOKUP(G140,Issues!A:D,2,FALSE))</f>
        <v>(300) Cobros</v>
      </c>
      <c r="I140" s="20" t="str">
        <f>IF(LEN(G140)=0,"",VLOOKUP(G140,Issues!A:D,3,FALSE))</f>
        <v>Cobro valor diferente al autorizado.</v>
      </c>
      <c r="J140" s="19" t="str">
        <f>IF(LEN(G140)=0,"",VLOOKUP(G140,Issues!A:D,4,FALSE))</f>
        <v>Critico</v>
      </c>
      <c r="K140" s="21" t="str">
        <f t="shared" si="8"/>
        <v>Issue</v>
      </c>
    </row>
    <row r="141" spans="1:11" x14ac:dyDescent="0.35">
      <c r="A141" s="23">
        <v>46064</v>
      </c>
      <c r="B141" s="19" t="str">
        <f t="shared" si="7"/>
        <v>febrero</v>
      </c>
      <c r="C141" s="19" t="str">
        <f t="shared" si="6"/>
        <v>2026</v>
      </c>
      <c r="D141" s="24" t="s">
        <v>206</v>
      </c>
      <c r="E141" s="25" t="s">
        <v>18</v>
      </c>
      <c r="F141" s="25" t="s">
        <v>184</v>
      </c>
      <c r="G141" s="24">
        <v>200</v>
      </c>
      <c r="H141" s="19" t="str">
        <f>IF(LEN(G141)=0,"",VLOOKUP(G141,Issues!A:D,2,FALSE))</f>
        <v>(200) Contenidos</v>
      </c>
      <c r="I141" s="20" t="str">
        <f>IF(LEN(G141)=0,"",VLOOKUP(G141,Issues!A:D,3,FALSE))</f>
        <v>Contenidos recibido con éxito.</v>
      </c>
      <c r="J141" s="19" t="str">
        <f>IF(LEN(G141)=0,"",VLOOKUP(G141,Issues!A:D,4,FALSE))</f>
        <v>Prueba OK</v>
      </c>
      <c r="K141" s="21" t="str">
        <f t="shared" si="8"/>
        <v>OK</v>
      </c>
    </row>
    <row r="142" spans="1:11" x14ac:dyDescent="0.35">
      <c r="A142" s="23">
        <v>46122</v>
      </c>
      <c r="B142" s="19" t="str">
        <f t="shared" si="7"/>
        <v>abril</v>
      </c>
      <c r="C142" s="19" t="str">
        <f t="shared" si="6"/>
        <v>2026</v>
      </c>
      <c r="D142" s="24" t="s">
        <v>206</v>
      </c>
      <c r="E142" s="25" t="s">
        <v>19</v>
      </c>
      <c r="F142" s="25" t="s">
        <v>185</v>
      </c>
      <c r="G142" s="24">
        <v>200</v>
      </c>
      <c r="H142" s="19" t="str">
        <f>IF(LEN(G142)=0,"",VLOOKUP(G142,Issues!A:D,2,FALSE))</f>
        <v>(200) Contenidos</v>
      </c>
      <c r="I142" s="20" t="str">
        <f>IF(LEN(G142)=0,"",VLOOKUP(G142,Issues!A:D,3,FALSE))</f>
        <v>Contenidos recibido con éxito.</v>
      </c>
      <c r="J142" s="19" t="str">
        <f>IF(LEN(G142)=0,"",VLOOKUP(G142,Issues!A:D,4,FALSE))</f>
        <v>Prueba OK</v>
      </c>
      <c r="K142" s="21" t="str">
        <f t="shared" si="8"/>
        <v>OK</v>
      </c>
    </row>
    <row r="143" spans="1:11" x14ac:dyDescent="0.35">
      <c r="A143" s="23">
        <v>46118</v>
      </c>
      <c r="B143" s="19" t="str">
        <f t="shared" si="7"/>
        <v>abril</v>
      </c>
      <c r="C143" s="19" t="str">
        <f t="shared" si="6"/>
        <v>2026</v>
      </c>
      <c r="D143" s="24" t="s">
        <v>206</v>
      </c>
      <c r="E143" s="25" t="s">
        <v>19</v>
      </c>
      <c r="F143" s="25" t="s">
        <v>186</v>
      </c>
      <c r="G143" s="24">
        <v>207</v>
      </c>
      <c r="H143" s="19" t="str">
        <f>IF(LEN(G143)=0,"",VLOOKUP(G143,Issues!A:D,2,FALSE))</f>
        <v>(200) Contenidos</v>
      </c>
      <c r="I143" s="20" t="str">
        <f>IF(LEN(G143)=0,"",VLOOKUP(G143,Issues!A:D,3,FALSE))</f>
        <v>Contenido repetido.</v>
      </c>
      <c r="J143" s="19" t="str">
        <f>IF(LEN(G143)=0,"",VLOOKUP(G143,Issues!A:D,4,FALSE))</f>
        <v>Medio</v>
      </c>
      <c r="K143" s="21" t="str">
        <f t="shared" si="8"/>
        <v>Issue</v>
      </c>
    </row>
    <row r="144" spans="1:11" x14ac:dyDescent="0.35">
      <c r="A144" s="23">
        <v>46028</v>
      </c>
      <c r="B144" s="19" t="str">
        <f t="shared" si="7"/>
        <v>enero</v>
      </c>
      <c r="C144" s="19" t="str">
        <f t="shared" si="6"/>
        <v>2026</v>
      </c>
      <c r="D144" s="24" t="s">
        <v>206</v>
      </c>
      <c r="E144" s="25" t="s">
        <v>21</v>
      </c>
      <c r="F144" s="25" t="s">
        <v>192</v>
      </c>
      <c r="G144" s="24">
        <v>700</v>
      </c>
      <c r="H144" s="19" t="str">
        <f>IF(LEN(G144)=0,"",VLOOKUP(G144,Issues!A:D,2,FALSE))</f>
        <v>(700) Interaccion MO/MT (On Demand)</v>
      </c>
      <c r="I144" s="20" t="str">
        <f>IF(LEN(G144)=0,"",VLOOKUP(G144,Issues!A:D,3,FALSE))</f>
        <v>Flujo MO/MT con éxito.</v>
      </c>
      <c r="J144" s="19" t="str">
        <f>IF(LEN(G144)=0,"",VLOOKUP(G144,Issues!A:D,4,FALSE))</f>
        <v>Prueba OK</v>
      </c>
      <c r="K144" s="21" t="str">
        <f t="shared" si="8"/>
        <v>OK</v>
      </c>
    </row>
    <row r="145" spans="1:11" x14ac:dyDescent="0.35">
      <c r="A145" s="23">
        <v>46075</v>
      </c>
      <c r="B145" s="19" t="str">
        <f t="shared" si="7"/>
        <v>febrero</v>
      </c>
      <c r="C145" s="19" t="str">
        <f t="shared" si="6"/>
        <v>2026</v>
      </c>
      <c r="D145" s="24" t="s">
        <v>206</v>
      </c>
      <c r="E145" s="25" t="s">
        <v>22</v>
      </c>
      <c r="F145" s="25" t="s">
        <v>154</v>
      </c>
      <c r="G145" s="24">
        <v>203</v>
      </c>
      <c r="H145" s="19" t="str">
        <f>IF(LEN(G145)=0,"",VLOOKUP(G145,Issues!A:D,2,FALSE))</f>
        <v>(200) Contenidos</v>
      </c>
      <c r="I145" s="20" t="str">
        <f>IF(LEN(G145)=0,"",VLOOKUP(G145,Issues!A:D,3,FALSE))</f>
        <v>Entrega de mensajeria sms con delay.</v>
      </c>
      <c r="J145" s="19" t="str">
        <f>IF(LEN(G145)=0,"",VLOOKUP(G145,Issues!A:D,4,FALSE))</f>
        <v>Bajo</v>
      </c>
      <c r="K145" s="21" t="str">
        <f t="shared" si="8"/>
        <v>Issue</v>
      </c>
    </row>
    <row r="146" spans="1:11" x14ac:dyDescent="0.35">
      <c r="A146" s="23">
        <v>46030</v>
      </c>
      <c r="B146" s="19" t="str">
        <f t="shared" si="7"/>
        <v>enero</v>
      </c>
      <c r="C146" s="19" t="str">
        <f t="shared" si="6"/>
        <v>2026</v>
      </c>
      <c r="D146" s="24" t="s">
        <v>209</v>
      </c>
      <c r="E146" s="25" t="s">
        <v>19</v>
      </c>
      <c r="F146" s="25" t="s">
        <v>186</v>
      </c>
      <c r="G146" s="24">
        <v>300</v>
      </c>
      <c r="H146" s="19" t="str">
        <f>IF(LEN(G146)=0,"",VLOOKUP(G146,Issues!A:D,2,FALSE))</f>
        <v>(300) Cobros</v>
      </c>
      <c r="I146" s="20" t="str">
        <f>IF(LEN(G146)=0,"",VLOOKUP(G146,Issues!A:D,3,FALSE))</f>
        <v>Cobro en valor y forma correcto.</v>
      </c>
      <c r="J146" s="19" t="str">
        <f>IF(LEN(G146)=0,"",VLOOKUP(G146,Issues!A:D,4,FALSE))</f>
        <v>Prueba OK</v>
      </c>
      <c r="K146" s="21" t="str">
        <f t="shared" si="8"/>
        <v>OK</v>
      </c>
    </row>
    <row r="147" spans="1:11" x14ac:dyDescent="0.35">
      <c r="A147" s="23">
        <v>46105</v>
      </c>
      <c r="B147" s="19" t="str">
        <f t="shared" si="7"/>
        <v>marzo</v>
      </c>
      <c r="C147" s="19" t="str">
        <f t="shared" si="6"/>
        <v>2026</v>
      </c>
      <c r="D147" s="24" t="s">
        <v>205</v>
      </c>
      <c r="E147" s="25" t="s">
        <v>24</v>
      </c>
      <c r="F147" s="25" t="s">
        <v>159</v>
      </c>
      <c r="G147" s="24">
        <v>409</v>
      </c>
      <c r="H147" s="19" t="str">
        <f>IF(LEN(G147)=0,"",VLOOKUP(G147,Issues!A:D,2,FALSE))</f>
        <v>(400) Portales / Web-App</v>
      </c>
      <c r="I147" s="20" t="str">
        <f>IF(LEN(G147)=0,"",VLOOKUP(G147,Issues!A:D,3,FALSE))</f>
        <v>409 no cumple con caracteristicas de diseño responsive.</v>
      </c>
      <c r="J147" s="19" t="str">
        <f>IF(LEN(G147)=0,"",VLOOKUP(G147,Issues!A:D,4,FALSE))</f>
        <v>Critico</v>
      </c>
      <c r="K147" s="21" t="str">
        <f t="shared" si="8"/>
        <v>Issue</v>
      </c>
    </row>
    <row r="148" spans="1:11" x14ac:dyDescent="0.35">
      <c r="A148" s="23">
        <v>46106</v>
      </c>
      <c r="B148" s="19" t="str">
        <f t="shared" si="7"/>
        <v>marzo</v>
      </c>
      <c r="C148" s="19" t="str">
        <f t="shared" si="6"/>
        <v>2026</v>
      </c>
      <c r="D148" s="24" t="s">
        <v>206</v>
      </c>
      <c r="E148" s="25" t="s">
        <v>19</v>
      </c>
      <c r="F148" s="25" t="s">
        <v>186</v>
      </c>
      <c r="G148" s="24">
        <v>405</v>
      </c>
      <c r="H148" s="19" t="str">
        <f>IF(LEN(G148)=0,"",VLOOKUP(G148,Issues!A:D,2,FALSE))</f>
        <v>(400) Portales / Web-App</v>
      </c>
      <c r="I148" s="20" t="str">
        <f>IF(LEN(G148)=0,"",VLOOKUP(G148,Issues!A:D,3,FALSE))</f>
        <v>Problemas de estructura o textos del portal o web-app.</v>
      </c>
      <c r="J148" s="19" t="str">
        <f>IF(LEN(G148)=0,"",VLOOKUP(G148,Issues!A:D,4,FALSE))</f>
        <v>Medio</v>
      </c>
      <c r="K148" s="21" t="str">
        <f t="shared" si="8"/>
        <v>Issue</v>
      </c>
    </row>
    <row r="149" spans="1:11" x14ac:dyDescent="0.35">
      <c r="A149" s="23">
        <v>46081</v>
      </c>
      <c r="B149" s="19" t="str">
        <f t="shared" si="7"/>
        <v>febrero</v>
      </c>
      <c r="C149" s="19" t="str">
        <f t="shared" si="6"/>
        <v>2026</v>
      </c>
      <c r="D149" s="24" t="s">
        <v>206</v>
      </c>
      <c r="E149" s="25" t="s">
        <v>16</v>
      </c>
      <c r="F149" s="25" t="s">
        <v>176</v>
      </c>
      <c r="G149" s="24">
        <v>300</v>
      </c>
      <c r="H149" s="19" t="str">
        <f>IF(LEN(G149)=0,"",VLOOKUP(G149,Issues!A:D,2,FALSE))</f>
        <v>(300) Cobros</v>
      </c>
      <c r="I149" s="20" t="str">
        <f>IF(LEN(G149)=0,"",VLOOKUP(G149,Issues!A:D,3,FALSE))</f>
        <v>Cobro en valor y forma correcto.</v>
      </c>
      <c r="J149" s="19" t="str">
        <f>IF(LEN(G149)=0,"",VLOOKUP(G149,Issues!A:D,4,FALSE))</f>
        <v>Prueba OK</v>
      </c>
      <c r="K149" s="21" t="str">
        <f t="shared" si="8"/>
        <v>OK</v>
      </c>
    </row>
    <row r="150" spans="1:11" x14ac:dyDescent="0.35">
      <c r="A150" s="23">
        <v>46050</v>
      </c>
      <c r="B150" s="19" t="str">
        <f t="shared" si="7"/>
        <v>enero</v>
      </c>
      <c r="C150" s="19" t="str">
        <f t="shared" si="6"/>
        <v>2026</v>
      </c>
      <c r="D150" s="24" t="s">
        <v>206</v>
      </c>
      <c r="E150" s="25" t="s">
        <v>27</v>
      </c>
      <c r="F150" s="25" t="s">
        <v>201</v>
      </c>
      <c r="G150" s="24">
        <v>404</v>
      </c>
      <c r="H150" s="19" t="str">
        <f>IF(LEN(G150)=0,"",VLOOKUP(G150,Issues!A:D,2,FALSE))</f>
        <v>(400) Portales / Web-App</v>
      </c>
      <c r="I150" s="20" t="str">
        <f>IF(LEN(G150)=0,"",VLOOKUP(G150,Issues!A:D,3,FALSE))</f>
        <v>No cumple las politicas de estructura del operador.</v>
      </c>
      <c r="J150" s="19" t="str">
        <f>IF(LEN(G150)=0,"",VLOOKUP(G150,Issues!A:D,4,FALSE))</f>
        <v>Critico</v>
      </c>
      <c r="K150" s="21" t="str">
        <f t="shared" si="8"/>
        <v>Issue</v>
      </c>
    </row>
    <row r="151" spans="1:11" x14ac:dyDescent="0.35">
      <c r="A151" s="23">
        <v>46148</v>
      </c>
      <c r="B151" s="19" t="str">
        <f t="shared" si="7"/>
        <v>mayo</v>
      </c>
      <c r="C151" s="19" t="str">
        <f t="shared" si="6"/>
        <v>2026</v>
      </c>
      <c r="D151" s="24" t="s">
        <v>207</v>
      </c>
      <c r="E151" s="25" t="s">
        <v>25</v>
      </c>
      <c r="F151" s="25" t="s">
        <v>199</v>
      </c>
      <c r="G151" s="24">
        <v>408</v>
      </c>
      <c r="H151" s="19" t="str">
        <f>IF(LEN(G151)=0,"",VLOOKUP(G151,Issues!A:D,2,FALSE))</f>
        <v>(400) Portales / Web-App</v>
      </c>
      <c r="I151" s="20" t="str">
        <f>IF(LEN(G151)=0,"",VLOOKUP(G151,Issues!A:D,3,FALSE))</f>
        <v>Inconsistencias en los t&amp;c del portal / web-app.</v>
      </c>
      <c r="J151" s="19" t="str">
        <f>IF(LEN(G151)=0,"",VLOOKUP(G151,Issues!A:D,4,FALSE))</f>
        <v>Critico</v>
      </c>
      <c r="K151" s="21" t="str">
        <f t="shared" si="8"/>
        <v>Issue</v>
      </c>
    </row>
    <row r="152" spans="1:11" x14ac:dyDescent="0.35">
      <c r="A152" s="23">
        <v>46040</v>
      </c>
      <c r="B152" s="19" t="str">
        <f t="shared" si="7"/>
        <v>enero</v>
      </c>
      <c r="C152" s="19" t="str">
        <f t="shared" si="6"/>
        <v>2026</v>
      </c>
      <c r="D152" s="24" t="s">
        <v>206</v>
      </c>
      <c r="E152" s="25" t="s">
        <v>12</v>
      </c>
      <c r="F152" s="25" t="s">
        <v>168</v>
      </c>
      <c r="G152" s="24">
        <v>300</v>
      </c>
      <c r="H152" s="19" t="str">
        <f>IF(LEN(G152)=0,"",VLOOKUP(G152,Issues!A:D,2,FALSE))</f>
        <v>(300) Cobros</v>
      </c>
      <c r="I152" s="20" t="str">
        <f>IF(LEN(G152)=0,"",VLOOKUP(G152,Issues!A:D,3,FALSE))</f>
        <v>Cobro en valor y forma correcto.</v>
      </c>
      <c r="J152" s="19" t="str">
        <f>IF(LEN(G152)=0,"",VLOOKUP(G152,Issues!A:D,4,FALSE))</f>
        <v>Prueba OK</v>
      </c>
      <c r="K152" s="21" t="str">
        <f t="shared" si="8"/>
        <v>OK</v>
      </c>
    </row>
    <row r="153" spans="1:11" x14ac:dyDescent="0.35">
      <c r="A153" s="23">
        <v>46100</v>
      </c>
      <c r="B153" s="19" t="str">
        <f t="shared" si="7"/>
        <v>marzo</v>
      </c>
      <c r="C153" s="19" t="str">
        <f t="shared" si="6"/>
        <v>2026</v>
      </c>
      <c r="D153" s="24" t="s">
        <v>207</v>
      </c>
      <c r="E153" s="25" t="s">
        <v>11</v>
      </c>
      <c r="F153" s="25" t="s">
        <v>165</v>
      </c>
      <c r="G153" s="24">
        <v>503</v>
      </c>
      <c r="H153" s="19" t="str">
        <f>IF(LEN(G153)=0,"",VLOOKUP(G153,Issues!A:D,2,FALSE))</f>
        <v>(500) Baja / Cancelacion</v>
      </c>
      <c r="I153" s="20" t="str">
        <f>IF(LEN(G153)=0,"",VLOOKUP(G153,Issues!A:D,3,FALSE))</f>
        <v>Dio de baja en sms pero sigue activo en la plataforma.</v>
      </c>
      <c r="J153" s="19" t="str">
        <f>IF(LEN(G153)=0,"",VLOOKUP(G153,Issues!A:D,4,FALSE))</f>
        <v>Critico</v>
      </c>
      <c r="K153" s="21" t="str">
        <f t="shared" si="8"/>
        <v>Issue</v>
      </c>
    </row>
    <row r="154" spans="1:11" x14ac:dyDescent="0.35">
      <c r="A154" s="23">
        <v>46071</v>
      </c>
      <c r="B154" s="19" t="str">
        <f t="shared" si="7"/>
        <v>febrero</v>
      </c>
      <c r="C154" s="19" t="str">
        <f t="shared" si="6"/>
        <v>2026</v>
      </c>
      <c r="D154" s="24" t="s">
        <v>206</v>
      </c>
      <c r="E154" s="25" t="s">
        <v>17</v>
      </c>
      <c r="F154" s="25" t="s">
        <v>179</v>
      </c>
      <c r="G154" s="24">
        <v>100</v>
      </c>
      <c r="H154" s="19" t="str">
        <f>IF(LEN(G154)=0,"",VLOOKUP(G154,Issues!A:D,2,FALSE))</f>
        <v>(100)  Alta</v>
      </c>
      <c r="I154" s="20" t="str">
        <f>IF(LEN(G154)=0,"",VLOOKUP(G154,Issues!A:D,3,FALSE))</f>
        <v>Alta con éxito.</v>
      </c>
      <c r="J154" s="19" t="str">
        <f>IF(LEN(G154)=0,"",VLOOKUP(G154,Issues!A:D,4,FALSE))</f>
        <v>Prueba OK</v>
      </c>
      <c r="K154" s="21" t="str">
        <f t="shared" si="8"/>
        <v>OK</v>
      </c>
    </row>
    <row r="155" spans="1:11" x14ac:dyDescent="0.35">
      <c r="A155" s="23">
        <v>46149</v>
      </c>
      <c r="B155" s="19" t="str">
        <f t="shared" si="7"/>
        <v>mayo</v>
      </c>
      <c r="C155" s="19" t="str">
        <f t="shared" si="6"/>
        <v>2026</v>
      </c>
      <c r="D155" s="24" t="s">
        <v>207</v>
      </c>
      <c r="E155" s="25" t="s">
        <v>10</v>
      </c>
      <c r="F155" s="25" t="s">
        <v>162</v>
      </c>
      <c r="G155" s="24">
        <v>500</v>
      </c>
      <c r="H155" s="19" t="str">
        <f>IF(LEN(G155)=0,"",VLOOKUP(G155,Issues!A:D,2,FALSE))</f>
        <v>(500) Baja / Cancelacion</v>
      </c>
      <c r="I155" s="20" t="str">
        <f>IF(LEN(G155)=0,"",VLOOKUP(G155,Issues!A:D,3,FALSE))</f>
        <v>Baja con éxito.</v>
      </c>
      <c r="J155" s="19" t="str">
        <f>IF(LEN(G155)=0,"",VLOOKUP(G155,Issues!A:D,4,FALSE))</f>
        <v>Prueba OK</v>
      </c>
      <c r="K155" s="21" t="str">
        <f t="shared" si="8"/>
        <v>OK</v>
      </c>
    </row>
    <row r="156" spans="1:11" x14ac:dyDescent="0.35">
      <c r="A156" s="23">
        <v>46100</v>
      </c>
      <c r="B156" s="19" t="str">
        <f t="shared" si="7"/>
        <v>marzo</v>
      </c>
      <c r="C156" s="19" t="str">
        <f t="shared" si="6"/>
        <v>2026</v>
      </c>
      <c r="D156" s="24" t="s">
        <v>209</v>
      </c>
      <c r="E156" s="25" t="s">
        <v>10</v>
      </c>
      <c r="F156" s="25" t="s">
        <v>161</v>
      </c>
      <c r="G156" s="24">
        <v>400</v>
      </c>
      <c r="H156" s="19" t="str">
        <f>IF(LEN(G156)=0,"",VLOOKUP(G156,Issues!A:D,2,FALSE))</f>
        <v>(400) Portales / Web-App</v>
      </c>
      <c r="I156" s="20" t="str">
        <f>IF(LEN(G156)=0,"",VLOOKUP(G156,Issues!A:D,3,FALSE))</f>
        <v>Portal evaluado con éxito.</v>
      </c>
      <c r="J156" s="19" t="str">
        <f>IF(LEN(G156)=0,"",VLOOKUP(G156,Issues!A:D,4,FALSE))</f>
        <v>Prueba OK</v>
      </c>
      <c r="K156" s="21" t="str">
        <f t="shared" si="8"/>
        <v>OK</v>
      </c>
    </row>
    <row r="157" spans="1:11" x14ac:dyDescent="0.35">
      <c r="A157" s="23">
        <v>46076</v>
      </c>
      <c r="B157" s="19" t="str">
        <f t="shared" si="7"/>
        <v>febrero</v>
      </c>
      <c r="C157" s="19" t="str">
        <f t="shared" si="6"/>
        <v>2026</v>
      </c>
      <c r="D157" s="24" t="s">
        <v>206</v>
      </c>
      <c r="E157" s="25" t="s">
        <v>27</v>
      </c>
      <c r="F157" s="25" t="s">
        <v>201</v>
      </c>
      <c r="G157" s="24">
        <v>800</v>
      </c>
      <c r="H157" s="19" t="str">
        <f>IF(LEN(G157)=0,"",VLOOKUP(G157,Issues!A:D,2,FALSE))</f>
        <v>(800) Politicas especiales operadores</v>
      </c>
      <c r="I157" s="20" t="str">
        <f>IF(LEN(G157)=0,"",VLOOKUP(G157,Issues!A:D,3,FALSE))</f>
        <v>Politicas de los operadores cumplidas.</v>
      </c>
      <c r="J157" s="19" t="str">
        <f>IF(LEN(G157)=0,"",VLOOKUP(G157,Issues!A:D,4,FALSE))</f>
        <v>Prueba OK</v>
      </c>
      <c r="K157" s="21" t="str">
        <f t="shared" si="8"/>
        <v>OK</v>
      </c>
    </row>
    <row r="158" spans="1:11" x14ac:dyDescent="0.35">
      <c r="A158" s="23">
        <v>46053</v>
      </c>
      <c r="B158" s="19" t="str">
        <f t="shared" si="7"/>
        <v>enero</v>
      </c>
      <c r="C158" s="19" t="str">
        <f t="shared" si="6"/>
        <v>2026</v>
      </c>
      <c r="D158" s="24" t="s">
        <v>206</v>
      </c>
      <c r="E158" s="25" t="s">
        <v>13</v>
      </c>
      <c r="F158" s="25" t="s">
        <v>153</v>
      </c>
      <c r="G158" s="24">
        <v>300</v>
      </c>
      <c r="H158" s="19" t="str">
        <f>IF(LEN(G158)=0,"",VLOOKUP(G158,Issues!A:D,2,FALSE))</f>
        <v>(300) Cobros</v>
      </c>
      <c r="I158" s="20" t="str">
        <f>IF(LEN(G158)=0,"",VLOOKUP(G158,Issues!A:D,3,FALSE))</f>
        <v>Cobro en valor y forma correcto.</v>
      </c>
      <c r="J158" s="19" t="str">
        <f>IF(LEN(G158)=0,"",VLOOKUP(G158,Issues!A:D,4,FALSE))</f>
        <v>Prueba OK</v>
      </c>
      <c r="K158" s="21" t="str">
        <f t="shared" si="8"/>
        <v>OK</v>
      </c>
    </row>
    <row r="159" spans="1:11" x14ac:dyDescent="0.35">
      <c r="A159" s="23">
        <v>46052</v>
      </c>
      <c r="B159" s="19" t="str">
        <f t="shared" si="7"/>
        <v>enero</v>
      </c>
      <c r="C159" s="19" t="str">
        <f t="shared" si="6"/>
        <v>2026</v>
      </c>
      <c r="D159" s="24" t="s">
        <v>206</v>
      </c>
      <c r="E159" s="25" t="s">
        <v>14</v>
      </c>
      <c r="F159" s="25" t="s">
        <v>171</v>
      </c>
      <c r="G159" s="24">
        <v>403</v>
      </c>
      <c r="H159" s="19" t="str">
        <f>IF(LEN(G159)=0,"",VLOOKUP(G159,Issues!A:D,2,FALSE))</f>
        <v>(400) Portales / Web-App</v>
      </c>
      <c r="I159" s="20" t="str">
        <f>IF(LEN(G159)=0,"",VLOOKUP(G159,Issues!A:D,3,FALSE))</f>
        <v>Portal desactualizado.</v>
      </c>
      <c r="J159" s="19" t="str">
        <f>IF(LEN(G159)=0,"",VLOOKUP(G159,Issues!A:D,4,FALSE))</f>
        <v>Medio</v>
      </c>
      <c r="K159" s="21" t="str">
        <f t="shared" si="8"/>
        <v>Issue</v>
      </c>
    </row>
    <row r="160" spans="1:11" x14ac:dyDescent="0.35">
      <c r="A160" s="23">
        <v>46154</v>
      </c>
      <c r="B160" s="19" t="str">
        <f t="shared" si="7"/>
        <v>mayo</v>
      </c>
      <c r="C160" s="19" t="str">
        <f t="shared" si="6"/>
        <v>2026</v>
      </c>
      <c r="D160" s="24" t="s">
        <v>208</v>
      </c>
      <c r="E160" s="25" t="s">
        <v>17</v>
      </c>
      <c r="F160" s="25" t="s">
        <v>180</v>
      </c>
      <c r="G160" s="24">
        <v>406</v>
      </c>
      <c r="H160" s="19" t="str">
        <f>IF(LEN(G160)=0,"",VLOOKUP(G160,Issues!A:D,2,FALSE))</f>
        <v>(400) Portales / Web-App</v>
      </c>
      <c r="I160" s="20" t="str">
        <f>IF(LEN(G160)=0,"",VLOOKUP(G160,Issues!A:D,3,FALSE))</f>
        <v>No descarga contenidos - problemas con la descarga.</v>
      </c>
      <c r="J160" s="19" t="str">
        <f>IF(LEN(G160)=0,"",VLOOKUP(G160,Issues!A:D,4,FALSE))</f>
        <v>Critico</v>
      </c>
      <c r="K160" s="21" t="str">
        <f t="shared" si="8"/>
        <v>Issue</v>
      </c>
    </row>
    <row r="161" spans="1:11" x14ac:dyDescent="0.35">
      <c r="A161" s="23">
        <v>46140</v>
      </c>
      <c r="B161" s="19" t="str">
        <f t="shared" si="7"/>
        <v>abril</v>
      </c>
      <c r="C161" s="19" t="str">
        <f t="shared" ref="C161:C210" si="9">IF(LEN(A161)=0,"",TEXT(A161,"aaaa"))</f>
        <v>2026</v>
      </c>
      <c r="D161" s="24" t="s">
        <v>208</v>
      </c>
      <c r="E161" s="25" t="s">
        <v>19</v>
      </c>
      <c r="F161" s="25" t="s">
        <v>185</v>
      </c>
      <c r="G161" s="24">
        <v>506</v>
      </c>
      <c r="H161" s="19" t="str">
        <f>IF(LEN(G161)=0,"",VLOOKUP(G161,Issues!A:D,2,FALSE))</f>
        <v>(500) Baja / Cancelacion</v>
      </c>
      <c r="I161" s="20" t="str">
        <f>IF(LEN(G161)=0,"",VLOOKUP(G161,Issues!A:D,3,FALSE))</f>
        <v>No funciona la baja desde ivr.</v>
      </c>
      <c r="J161" s="19" t="str">
        <f>IF(LEN(G161)=0,"",VLOOKUP(G161,Issues!A:D,4,FALSE))</f>
        <v>Critico</v>
      </c>
      <c r="K161" s="21" t="str">
        <f t="shared" si="8"/>
        <v>Issue</v>
      </c>
    </row>
    <row r="162" spans="1:11" x14ac:dyDescent="0.35">
      <c r="A162" s="23">
        <v>46063</v>
      </c>
      <c r="B162" s="19" t="str">
        <f t="shared" si="7"/>
        <v>febrero</v>
      </c>
      <c r="C162" s="19" t="str">
        <f t="shared" si="9"/>
        <v>2026</v>
      </c>
      <c r="D162" s="24" t="s">
        <v>206</v>
      </c>
      <c r="E162" s="25" t="s">
        <v>18</v>
      </c>
      <c r="F162" s="25" t="s">
        <v>184</v>
      </c>
      <c r="G162" s="24">
        <v>701</v>
      </c>
      <c r="H162" s="19" t="str">
        <f>IF(LEN(G162)=0,"",VLOOKUP(G162,Issues!A:D,2,FALSE))</f>
        <v>(700) Interaccion MO/MT (On Demand)</v>
      </c>
      <c r="I162" s="20" t="str">
        <f>IF(LEN(G162)=0,"",VLOOKUP(G162,Issues!A:D,3,FALSE))</f>
        <v>No envia el mo.</v>
      </c>
      <c r="J162" s="19" t="str">
        <f>IF(LEN(G162)=0,"",VLOOKUP(G162,Issues!A:D,4,FALSE))</f>
        <v>Critico</v>
      </c>
      <c r="K162" s="21" t="str">
        <f t="shared" si="8"/>
        <v>Issue</v>
      </c>
    </row>
    <row r="163" spans="1:11" x14ac:dyDescent="0.35">
      <c r="A163" s="23">
        <v>46111</v>
      </c>
      <c r="B163" s="19" t="str">
        <f t="shared" si="7"/>
        <v>marzo</v>
      </c>
      <c r="C163" s="19" t="str">
        <f t="shared" si="9"/>
        <v>2026</v>
      </c>
      <c r="D163" s="24" t="s">
        <v>207</v>
      </c>
      <c r="E163" s="25" t="s">
        <v>18</v>
      </c>
      <c r="F163" s="25" t="s">
        <v>183</v>
      </c>
      <c r="G163" s="24">
        <v>200</v>
      </c>
      <c r="H163" s="19" t="str">
        <f>IF(LEN(G163)=0,"",VLOOKUP(G163,Issues!A:D,2,FALSE))</f>
        <v>(200) Contenidos</v>
      </c>
      <c r="I163" s="20" t="str">
        <f>IF(LEN(G163)=0,"",VLOOKUP(G163,Issues!A:D,3,FALSE))</f>
        <v>Contenidos recibido con éxito.</v>
      </c>
      <c r="J163" s="19" t="str">
        <f>IF(LEN(G163)=0,"",VLOOKUP(G163,Issues!A:D,4,FALSE))</f>
        <v>Prueba OK</v>
      </c>
      <c r="K163" s="21" t="str">
        <f t="shared" si="8"/>
        <v>OK</v>
      </c>
    </row>
    <row r="164" spans="1:11" x14ac:dyDescent="0.35">
      <c r="A164" s="23">
        <v>46035</v>
      </c>
      <c r="B164" s="19" t="str">
        <f t="shared" si="7"/>
        <v>enero</v>
      </c>
      <c r="C164" s="19" t="str">
        <f t="shared" si="9"/>
        <v>2026</v>
      </c>
      <c r="D164" s="24" t="s">
        <v>206</v>
      </c>
      <c r="E164" s="25" t="s">
        <v>23</v>
      </c>
      <c r="F164" s="25" t="s">
        <v>195</v>
      </c>
      <c r="G164" s="24">
        <v>108</v>
      </c>
      <c r="H164" s="19" t="str">
        <f>IF(LEN(G164)=0,"",VLOOKUP(G164,Issues!A:D,2,FALSE))</f>
        <v>(100)  Alta</v>
      </c>
      <c r="I164" s="20" t="str">
        <f>IF(LEN(G164)=0,"",VLOOKUP(G164,Issues!A:D,3,FALSE))</f>
        <v>Inconsistencias en t&amp;c en la lp.</v>
      </c>
      <c r="J164" s="19" t="str">
        <f>IF(LEN(G164)=0,"",VLOOKUP(G164,Issues!A:D,4,FALSE))</f>
        <v>Critico</v>
      </c>
      <c r="K164" s="21" t="str">
        <f t="shared" si="8"/>
        <v>Issue</v>
      </c>
    </row>
    <row r="165" spans="1:11" x14ac:dyDescent="0.35">
      <c r="A165" s="23">
        <v>46051</v>
      </c>
      <c r="B165" s="19" t="str">
        <f t="shared" si="7"/>
        <v>enero</v>
      </c>
      <c r="C165" s="19" t="str">
        <f t="shared" si="9"/>
        <v>2026</v>
      </c>
      <c r="D165" s="24" t="s">
        <v>207</v>
      </c>
      <c r="E165" s="25" t="s">
        <v>11</v>
      </c>
      <c r="F165" s="25" t="s">
        <v>164</v>
      </c>
      <c r="G165" s="24">
        <v>111</v>
      </c>
      <c r="H165" s="19" t="str">
        <f>IF(LEN(G165)=0,"",VLOOKUP(G165,Issues!A:D,2,FALSE))</f>
        <v>(100)  Alta</v>
      </c>
      <c r="I165" s="20" t="str">
        <f>IF(LEN(G165)=0,"",VLOOKUP(G165,Issues!A:D,3,FALSE))</f>
        <v>Falla en alta a traves de sim.</v>
      </c>
      <c r="J165" s="19" t="str">
        <f>IF(LEN(G165)=0,"",VLOOKUP(G165,Issues!A:D,4,FALSE))</f>
        <v>Critico</v>
      </c>
      <c r="K165" s="21" t="str">
        <f t="shared" si="8"/>
        <v>Issue</v>
      </c>
    </row>
    <row r="166" spans="1:11" x14ac:dyDescent="0.35">
      <c r="A166" s="23">
        <v>46136</v>
      </c>
      <c r="B166" s="19" t="str">
        <f t="shared" si="7"/>
        <v>abril</v>
      </c>
      <c r="C166" s="19" t="str">
        <f t="shared" si="9"/>
        <v>2026</v>
      </c>
      <c r="D166" s="24" t="s">
        <v>206</v>
      </c>
      <c r="E166" s="25" t="s">
        <v>18</v>
      </c>
      <c r="F166" s="25" t="s">
        <v>183</v>
      </c>
      <c r="G166" s="24">
        <v>111</v>
      </c>
      <c r="H166" s="19" t="str">
        <f>IF(LEN(G166)=0,"",VLOOKUP(G166,Issues!A:D,2,FALSE))</f>
        <v>(100)  Alta</v>
      </c>
      <c r="I166" s="20" t="str">
        <f>IF(LEN(G166)=0,"",VLOOKUP(G166,Issues!A:D,3,FALSE))</f>
        <v>Falla en alta a traves de sim.</v>
      </c>
      <c r="J166" s="19" t="str">
        <f>IF(LEN(G166)=0,"",VLOOKUP(G166,Issues!A:D,4,FALSE))</f>
        <v>Critico</v>
      </c>
      <c r="K166" s="21" t="str">
        <f t="shared" si="8"/>
        <v>Issue</v>
      </c>
    </row>
    <row r="167" spans="1:11" x14ac:dyDescent="0.35">
      <c r="A167" s="23">
        <v>46095</v>
      </c>
      <c r="B167" s="19" t="str">
        <f t="shared" si="7"/>
        <v>marzo</v>
      </c>
      <c r="C167" s="19" t="str">
        <f t="shared" si="9"/>
        <v>2026</v>
      </c>
      <c r="D167" s="24" t="s">
        <v>206</v>
      </c>
      <c r="E167" s="25" t="s">
        <v>21</v>
      </c>
      <c r="F167" s="25" t="s">
        <v>191</v>
      </c>
      <c r="G167" s="24">
        <v>300</v>
      </c>
      <c r="H167" s="19" t="str">
        <f>IF(LEN(G167)=0,"",VLOOKUP(G167,Issues!A:D,2,FALSE))</f>
        <v>(300) Cobros</v>
      </c>
      <c r="I167" s="20" t="str">
        <f>IF(LEN(G167)=0,"",VLOOKUP(G167,Issues!A:D,3,FALSE))</f>
        <v>Cobro en valor y forma correcto.</v>
      </c>
      <c r="J167" s="19" t="str">
        <f>IF(LEN(G167)=0,"",VLOOKUP(G167,Issues!A:D,4,FALSE))</f>
        <v>Prueba OK</v>
      </c>
      <c r="K167" s="21" t="str">
        <f t="shared" si="8"/>
        <v>OK</v>
      </c>
    </row>
    <row r="168" spans="1:11" x14ac:dyDescent="0.35">
      <c r="A168" s="23">
        <v>46029</v>
      </c>
      <c r="B168" s="19" t="str">
        <f t="shared" si="7"/>
        <v>enero</v>
      </c>
      <c r="C168" s="19" t="str">
        <f t="shared" si="9"/>
        <v>2026</v>
      </c>
      <c r="D168" s="24" t="s">
        <v>210</v>
      </c>
      <c r="E168" s="25" t="s">
        <v>10</v>
      </c>
      <c r="F168" s="25" t="s">
        <v>162</v>
      </c>
      <c r="G168" s="24">
        <v>500</v>
      </c>
      <c r="H168" s="19" t="str">
        <f>IF(LEN(G168)=0,"",VLOOKUP(G168,Issues!A:D,2,FALSE))</f>
        <v>(500) Baja / Cancelacion</v>
      </c>
      <c r="I168" s="20" t="str">
        <f>IF(LEN(G168)=0,"",VLOOKUP(G168,Issues!A:D,3,FALSE))</f>
        <v>Baja con éxito.</v>
      </c>
      <c r="J168" s="19" t="str">
        <f>IF(LEN(G168)=0,"",VLOOKUP(G168,Issues!A:D,4,FALSE))</f>
        <v>Prueba OK</v>
      </c>
      <c r="K168" s="21" t="str">
        <f t="shared" si="8"/>
        <v>OK</v>
      </c>
    </row>
    <row r="169" spans="1:11" x14ac:dyDescent="0.35">
      <c r="A169" s="23">
        <v>46043</v>
      </c>
      <c r="B169" s="19" t="str">
        <f t="shared" si="7"/>
        <v>enero</v>
      </c>
      <c r="C169" s="19" t="str">
        <f t="shared" si="9"/>
        <v>2026</v>
      </c>
      <c r="D169" s="24" t="s">
        <v>207</v>
      </c>
      <c r="E169" s="25" t="s">
        <v>21</v>
      </c>
      <c r="F169" s="25" t="s">
        <v>192</v>
      </c>
      <c r="G169" s="24">
        <v>205</v>
      </c>
      <c r="H169" s="19" t="str">
        <f>IF(LEN(G169)=0,"",VLOOKUP(G169,Issues!A:D,2,FALSE))</f>
        <v>(200) Contenidos</v>
      </c>
      <c r="I169" s="20" t="str">
        <f>IF(LEN(G169)=0,"",VLOOKUP(G169,Issues!A:D,3,FALSE))</f>
        <v>Llego contenido de otro club.</v>
      </c>
      <c r="J169" s="19" t="str">
        <f>IF(LEN(G169)=0,"",VLOOKUP(G169,Issues!A:D,4,FALSE))</f>
        <v>Critico</v>
      </c>
      <c r="K169" s="21" t="str">
        <f t="shared" si="8"/>
        <v>Issue</v>
      </c>
    </row>
    <row r="170" spans="1:11" x14ac:dyDescent="0.35">
      <c r="A170" s="23">
        <v>46056</v>
      </c>
      <c r="B170" s="19" t="str">
        <f t="shared" si="7"/>
        <v>febrero</v>
      </c>
      <c r="C170" s="19" t="str">
        <f t="shared" si="9"/>
        <v>2026</v>
      </c>
      <c r="D170" s="24" t="s">
        <v>206</v>
      </c>
      <c r="E170" s="25" t="s">
        <v>13</v>
      </c>
      <c r="F170" s="25" t="s">
        <v>153</v>
      </c>
      <c r="G170" s="24">
        <v>700</v>
      </c>
      <c r="H170" s="19" t="str">
        <f>IF(LEN(G170)=0,"",VLOOKUP(G170,Issues!A:D,2,FALSE))</f>
        <v>(700) Interaccion MO/MT (On Demand)</v>
      </c>
      <c r="I170" s="20" t="str">
        <f>IF(LEN(G170)=0,"",VLOOKUP(G170,Issues!A:D,3,FALSE))</f>
        <v>Flujo MO/MT con éxito.</v>
      </c>
      <c r="J170" s="19" t="str">
        <f>IF(LEN(G170)=0,"",VLOOKUP(G170,Issues!A:D,4,FALSE))</f>
        <v>Prueba OK</v>
      </c>
      <c r="K170" s="21" t="str">
        <f t="shared" si="8"/>
        <v>OK</v>
      </c>
    </row>
    <row r="171" spans="1:11" x14ac:dyDescent="0.35">
      <c r="A171" s="23">
        <v>46053</v>
      </c>
      <c r="B171" s="19" t="str">
        <f t="shared" si="7"/>
        <v>enero</v>
      </c>
      <c r="C171" s="19" t="str">
        <f t="shared" si="9"/>
        <v>2026</v>
      </c>
      <c r="D171" s="24" t="s">
        <v>206</v>
      </c>
      <c r="E171" s="25" t="s">
        <v>10</v>
      </c>
      <c r="F171" s="25" t="s">
        <v>161</v>
      </c>
      <c r="G171" s="24">
        <v>100</v>
      </c>
      <c r="H171" s="19" t="str">
        <f>IF(LEN(G171)=0,"",VLOOKUP(G171,Issues!A:D,2,FALSE))</f>
        <v>(100)  Alta</v>
      </c>
      <c r="I171" s="20" t="str">
        <f>IF(LEN(G171)=0,"",VLOOKUP(G171,Issues!A:D,3,FALSE))</f>
        <v>Alta con éxito.</v>
      </c>
      <c r="J171" s="19" t="str">
        <f>IF(LEN(G171)=0,"",VLOOKUP(G171,Issues!A:D,4,FALSE))</f>
        <v>Prueba OK</v>
      </c>
      <c r="K171" s="21" t="str">
        <f t="shared" si="8"/>
        <v>OK</v>
      </c>
    </row>
    <row r="172" spans="1:11" x14ac:dyDescent="0.35">
      <c r="A172" s="23">
        <v>46106</v>
      </c>
      <c r="B172" s="19" t="str">
        <f t="shared" si="7"/>
        <v>marzo</v>
      </c>
      <c r="C172" s="19" t="str">
        <f t="shared" si="9"/>
        <v>2026</v>
      </c>
      <c r="D172" s="24" t="s">
        <v>206</v>
      </c>
      <c r="E172" s="25" t="s">
        <v>21</v>
      </c>
      <c r="F172" s="25" t="s">
        <v>193</v>
      </c>
      <c r="G172" s="24">
        <v>800</v>
      </c>
      <c r="H172" s="19" t="str">
        <f>IF(LEN(G172)=0,"",VLOOKUP(G172,Issues!A:D,2,FALSE))</f>
        <v>(800) Politicas especiales operadores</v>
      </c>
      <c r="I172" s="20" t="str">
        <f>IF(LEN(G172)=0,"",VLOOKUP(G172,Issues!A:D,3,FALSE))</f>
        <v>Politicas de los operadores cumplidas.</v>
      </c>
      <c r="J172" s="19" t="str">
        <f>IF(LEN(G172)=0,"",VLOOKUP(G172,Issues!A:D,4,FALSE))</f>
        <v>Prueba OK</v>
      </c>
      <c r="K172" s="21" t="str">
        <f t="shared" si="8"/>
        <v>OK</v>
      </c>
    </row>
    <row r="173" spans="1:11" x14ac:dyDescent="0.35">
      <c r="A173" s="23">
        <v>46032</v>
      </c>
      <c r="B173" s="19" t="str">
        <f t="shared" si="7"/>
        <v>enero</v>
      </c>
      <c r="C173" s="19" t="str">
        <f t="shared" si="9"/>
        <v>2026</v>
      </c>
      <c r="D173" s="24" t="s">
        <v>206</v>
      </c>
      <c r="E173" s="25" t="s">
        <v>23</v>
      </c>
      <c r="F173" s="25" t="s">
        <v>194</v>
      </c>
      <c r="G173" s="24">
        <v>400</v>
      </c>
      <c r="H173" s="19" t="str">
        <f>IF(LEN(G173)=0,"",VLOOKUP(G173,Issues!A:D,2,FALSE))</f>
        <v>(400) Portales / Web-App</v>
      </c>
      <c r="I173" s="20" t="str">
        <f>IF(LEN(G173)=0,"",VLOOKUP(G173,Issues!A:D,3,FALSE))</f>
        <v>Portal evaluado con éxito.</v>
      </c>
      <c r="J173" s="19" t="str">
        <f>IF(LEN(G173)=0,"",VLOOKUP(G173,Issues!A:D,4,FALSE))</f>
        <v>Prueba OK</v>
      </c>
      <c r="K173" s="21" t="str">
        <f t="shared" si="8"/>
        <v>OK</v>
      </c>
    </row>
    <row r="174" spans="1:11" x14ac:dyDescent="0.35">
      <c r="A174" s="23">
        <v>46110</v>
      </c>
      <c r="B174" s="19" t="str">
        <f t="shared" si="7"/>
        <v>marzo</v>
      </c>
      <c r="C174" s="19" t="str">
        <f t="shared" si="9"/>
        <v>2026</v>
      </c>
      <c r="D174" s="24" t="s">
        <v>207</v>
      </c>
      <c r="E174" s="25" t="s">
        <v>24</v>
      </c>
      <c r="F174" s="25" t="s">
        <v>159</v>
      </c>
      <c r="G174" s="24">
        <v>201</v>
      </c>
      <c r="H174" s="19" t="str">
        <f>IF(LEN(G174)=0,"",VLOOKUP(G174,Issues!A:D,2,FALSE))</f>
        <v>(200) Contenidos</v>
      </c>
      <c r="I174" s="20" t="str">
        <f>IF(LEN(G174)=0,"",VLOOKUP(G174,Issues!A:D,3,FALSE))</f>
        <v>Entrega de mensaje fuera de horario establecido.</v>
      </c>
      <c r="J174" s="19" t="str">
        <f>IF(LEN(G174)=0,"",VLOOKUP(G174,Issues!A:D,4,FALSE))</f>
        <v>Critico</v>
      </c>
      <c r="K174" s="21" t="str">
        <f t="shared" si="8"/>
        <v>Issue</v>
      </c>
    </row>
    <row r="175" spans="1:11" x14ac:dyDescent="0.35">
      <c r="A175" s="23">
        <v>46135</v>
      </c>
      <c r="B175" s="19" t="str">
        <f t="shared" si="7"/>
        <v>abril</v>
      </c>
      <c r="C175" s="19" t="str">
        <f t="shared" si="9"/>
        <v>2026</v>
      </c>
      <c r="D175" s="24" t="s">
        <v>206</v>
      </c>
      <c r="E175" s="25" t="s">
        <v>26</v>
      </c>
      <c r="F175" s="25" t="s">
        <v>160</v>
      </c>
      <c r="G175" s="24">
        <v>800</v>
      </c>
      <c r="H175" s="19" t="str">
        <f>IF(LEN(G175)=0,"",VLOOKUP(G175,Issues!A:D,2,FALSE))</f>
        <v>(800) Politicas especiales operadores</v>
      </c>
      <c r="I175" s="20" t="str">
        <f>IF(LEN(G175)=0,"",VLOOKUP(G175,Issues!A:D,3,FALSE))</f>
        <v>Politicas de los operadores cumplidas.</v>
      </c>
      <c r="J175" s="19" t="str">
        <f>IF(LEN(G175)=0,"",VLOOKUP(G175,Issues!A:D,4,FALSE))</f>
        <v>Prueba OK</v>
      </c>
      <c r="K175" s="21" t="str">
        <f t="shared" si="8"/>
        <v>OK</v>
      </c>
    </row>
    <row r="176" spans="1:11" x14ac:dyDescent="0.35">
      <c r="A176" s="23">
        <v>46044</v>
      </c>
      <c r="B176" s="19" t="str">
        <f t="shared" si="7"/>
        <v>enero</v>
      </c>
      <c r="C176" s="19" t="str">
        <f t="shared" si="9"/>
        <v>2026</v>
      </c>
      <c r="D176" s="24" t="s">
        <v>207</v>
      </c>
      <c r="E176" s="25" t="s">
        <v>23</v>
      </c>
      <c r="F176" s="25" t="s">
        <v>195</v>
      </c>
      <c r="G176" s="24">
        <v>200</v>
      </c>
      <c r="H176" s="19" t="str">
        <f>IF(LEN(G176)=0,"",VLOOKUP(G176,Issues!A:D,2,FALSE))</f>
        <v>(200) Contenidos</v>
      </c>
      <c r="I176" s="20" t="str">
        <f>IF(LEN(G176)=0,"",VLOOKUP(G176,Issues!A:D,3,FALSE))</f>
        <v>Contenidos recibido con éxito.</v>
      </c>
      <c r="J176" s="19" t="str">
        <f>IF(LEN(G176)=0,"",VLOOKUP(G176,Issues!A:D,4,FALSE))</f>
        <v>Prueba OK</v>
      </c>
      <c r="K176" s="21" t="str">
        <f t="shared" si="8"/>
        <v>OK</v>
      </c>
    </row>
    <row r="177" spans="1:11" x14ac:dyDescent="0.35">
      <c r="A177" s="23">
        <v>46069</v>
      </c>
      <c r="B177" s="19" t="str">
        <f t="shared" si="7"/>
        <v>febrero</v>
      </c>
      <c r="C177" s="19" t="str">
        <f t="shared" si="9"/>
        <v>2026</v>
      </c>
      <c r="D177" s="24" t="s">
        <v>207</v>
      </c>
      <c r="E177" s="25" t="s">
        <v>14</v>
      </c>
      <c r="F177" s="25" t="s">
        <v>172</v>
      </c>
      <c r="G177" s="24">
        <v>105</v>
      </c>
      <c r="H177" s="19" t="str">
        <f>IF(LEN(G177)=0,"",VLOOKUP(G177,Issues!A:D,2,FALSE))</f>
        <v>(100)  Alta</v>
      </c>
      <c r="I177" s="20" t="str">
        <f>IF(LEN(G177)=0,"",VLOOKUP(G177,Issues!A:D,3,FALSE))</f>
        <v>Inconsistencia en el pin code.</v>
      </c>
      <c r="J177" s="19" t="str">
        <f>IF(LEN(G177)=0,"",VLOOKUP(G177,Issues!A:D,4,FALSE))</f>
        <v>Medio</v>
      </c>
      <c r="K177" s="21" t="str">
        <f t="shared" si="8"/>
        <v>Issue</v>
      </c>
    </row>
    <row r="178" spans="1:11" x14ac:dyDescent="0.35">
      <c r="A178" s="23">
        <v>46084</v>
      </c>
      <c r="B178" s="19" t="str">
        <f t="shared" si="7"/>
        <v>marzo</v>
      </c>
      <c r="C178" s="19" t="str">
        <f t="shared" si="9"/>
        <v>2026</v>
      </c>
      <c r="D178" s="24" t="s">
        <v>207</v>
      </c>
      <c r="E178" s="25" t="s">
        <v>25</v>
      </c>
      <c r="F178" s="25" t="s">
        <v>199</v>
      </c>
      <c r="G178" s="24">
        <v>700</v>
      </c>
      <c r="H178" s="19" t="str">
        <f>IF(LEN(G178)=0,"",VLOOKUP(G178,Issues!A:D,2,FALSE))</f>
        <v>(700) Interaccion MO/MT (On Demand)</v>
      </c>
      <c r="I178" s="20" t="str">
        <f>IF(LEN(G178)=0,"",VLOOKUP(G178,Issues!A:D,3,FALSE))</f>
        <v>Flujo MO/MT con éxito.</v>
      </c>
      <c r="J178" s="19" t="str">
        <f>IF(LEN(G178)=0,"",VLOOKUP(G178,Issues!A:D,4,FALSE))</f>
        <v>Prueba OK</v>
      </c>
      <c r="K178" s="21" t="str">
        <f t="shared" si="8"/>
        <v>OK</v>
      </c>
    </row>
    <row r="179" spans="1:11" x14ac:dyDescent="0.35">
      <c r="A179" s="23">
        <v>46073</v>
      </c>
      <c r="B179" s="19" t="str">
        <f t="shared" si="7"/>
        <v>febrero</v>
      </c>
      <c r="C179" s="19" t="str">
        <f t="shared" si="9"/>
        <v>2026</v>
      </c>
      <c r="D179" s="24" t="s">
        <v>206</v>
      </c>
      <c r="E179" s="25" t="s">
        <v>14</v>
      </c>
      <c r="F179" s="25" t="s">
        <v>172</v>
      </c>
      <c r="G179" s="24">
        <v>800</v>
      </c>
      <c r="H179" s="19" t="str">
        <f>IF(LEN(G179)=0,"",VLOOKUP(G179,Issues!A:D,2,FALSE))</f>
        <v>(800) Politicas especiales operadores</v>
      </c>
      <c r="I179" s="20" t="str">
        <f>IF(LEN(G179)=0,"",VLOOKUP(G179,Issues!A:D,3,FALSE))</f>
        <v>Politicas de los operadores cumplidas.</v>
      </c>
      <c r="J179" s="19" t="str">
        <f>IF(LEN(G179)=0,"",VLOOKUP(G179,Issues!A:D,4,FALSE))</f>
        <v>Prueba OK</v>
      </c>
      <c r="K179" s="21" t="str">
        <f t="shared" si="8"/>
        <v>OK</v>
      </c>
    </row>
    <row r="180" spans="1:11" x14ac:dyDescent="0.35">
      <c r="A180" s="23">
        <v>46054</v>
      </c>
      <c r="B180" s="19" t="str">
        <f t="shared" si="7"/>
        <v>febrero</v>
      </c>
      <c r="C180" s="19" t="str">
        <f t="shared" si="9"/>
        <v>2026</v>
      </c>
      <c r="D180" s="24" t="s">
        <v>207</v>
      </c>
      <c r="E180" s="25" t="s">
        <v>27</v>
      </c>
      <c r="F180" s="25" t="s">
        <v>201</v>
      </c>
      <c r="G180" s="24">
        <v>400</v>
      </c>
      <c r="H180" s="19" t="str">
        <f>IF(LEN(G180)=0,"",VLOOKUP(G180,Issues!A:D,2,FALSE))</f>
        <v>(400) Portales / Web-App</v>
      </c>
      <c r="I180" s="20" t="str">
        <f>IF(LEN(G180)=0,"",VLOOKUP(G180,Issues!A:D,3,FALSE))</f>
        <v>Portal evaluado con éxito.</v>
      </c>
      <c r="J180" s="19" t="str">
        <f>IF(LEN(G180)=0,"",VLOOKUP(G180,Issues!A:D,4,FALSE))</f>
        <v>Prueba OK</v>
      </c>
      <c r="K180" s="21" t="str">
        <f t="shared" si="8"/>
        <v>OK</v>
      </c>
    </row>
    <row r="181" spans="1:11" x14ac:dyDescent="0.35">
      <c r="A181" s="23">
        <v>46141</v>
      </c>
      <c r="B181" s="19" t="str">
        <f t="shared" si="7"/>
        <v>abril</v>
      </c>
      <c r="C181" s="19" t="str">
        <f t="shared" si="9"/>
        <v>2026</v>
      </c>
      <c r="D181" s="24" t="s">
        <v>206</v>
      </c>
      <c r="E181" s="25" t="s">
        <v>18</v>
      </c>
      <c r="F181" s="25" t="s">
        <v>182</v>
      </c>
      <c r="G181" s="24">
        <v>108</v>
      </c>
      <c r="H181" s="19" t="str">
        <f>IF(LEN(G181)=0,"",VLOOKUP(G181,Issues!A:D,2,FALSE))</f>
        <v>(100)  Alta</v>
      </c>
      <c r="I181" s="20" t="str">
        <f>IF(LEN(G181)=0,"",VLOOKUP(G181,Issues!A:D,3,FALSE))</f>
        <v>Inconsistencias en t&amp;c en la lp.</v>
      </c>
      <c r="J181" s="19" t="str">
        <f>IF(LEN(G181)=0,"",VLOOKUP(G181,Issues!A:D,4,FALSE))</f>
        <v>Critico</v>
      </c>
      <c r="K181" s="21" t="str">
        <f t="shared" si="8"/>
        <v>Issue</v>
      </c>
    </row>
    <row r="182" spans="1:11" x14ac:dyDescent="0.35">
      <c r="A182" s="23">
        <v>46077</v>
      </c>
      <c r="B182" s="19" t="str">
        <f t="shared" si="7"/>
        <v>febrero</v>
      </c>
      <c r="C182" s="19" t="str">
        <f t="shared" si="9"/>
        <v>2026</v>
      </c>
      <c r="D182" s="24" t="s">
        <v>206</v>
      </c>
      <c r="E182" s="25" t="s">
        <v>23</v>
      </c>
      <c r="F182" s="25" t="s">
        <v>194</v>
      </c>
      <c r="G182" s="24">
        <v>207</v>
      </c>
      <c r="H182" s="19" t="str">
        <f>IF(LEN(G182)=0,"",VLOOKUP(G182,Issues!A:D,2,FALSE))</f>
        <v>(200) Contenidos</v>
      </c>
      <c r="I182" s="20" t="str">
        <f>IF(LEN(G182)=0,"",VLOOKUP(G182,Issues!A:D,3,FALSE))</f>
        <v>Contenido repetido.</v>
      </c>
      <c r="J182" s="19" t="str">
        <f>IF(LEN(G182)=0,"",VLOOKUP(G182,Issues!A:D,4,FALSE))</f>
        <v>Medio</v>
      </c>
      <c r="K182" s="21" t="str">
        <f t="shared" si="8"/>
        <v>Issue</v>
      </c>
    </row>
    <row r="183" spans="1:11" x14ac:dyDescent="0.35">
      <c r="A183" s="23">
        <v>46151</v>
      </c>
      <c r="B183" s="19" t="str">
        <f t="shared" si="7"/>
        <v>mayo</v>
      </c>
      <c r="C183" s="19" t="str">
        <f t="shared" si="9"/>
        <v>2026</v>
      </c>
      <c r="D183" s="24" t="s">
        <v>208</v>
      </c>
      <c r="E183" s="25" t="s">
        <v>17</v>
      </c>
      <c r="F183" s="25" t="s">
        <v>179</v>
      </c>
      <c r="G183" s="24">
        <v>113</v>
      </c>
      <c r="H183" s="19" t="str">
        <f>IF(LEN(G183)=0,"",VLOOKUP(G183,Issues!A:D,2,FALSE))</f>
        <v>(100)  Alta</v>
      </c>
      <c r="I183" s="20" t="str">
        <f>IF(LEN(G183)=0,"",VLOOKUP(G183,Issues!A:D,3,FALSE))</f>
        <v>Servicio suspendido.</v>
      </c>
      <c r="J183" s="19" t="str">
        <f>IF(LEN(G183)=0,"",VLOOKUP(G183,Issues!A:D,4,FALSE))</f>
        <v>Medio</v>
      </c>
      <c r="K183" s="21" t="str">
        <f t="shared" si="8"/>
        <v>Issue</v>
      </c>
    </row>
    <row r="184" spans="1:11" x14ac:dyDescent="0.35">
      <c r="A184" s="23">
        <v>46150</v>
      </c>
      <c r="B184" s="19" t="str">
        <f t="shared" si="7"/>
        <v>mayo</v>
      </c>
      <c r="C184" s="19" t="str">
        <f t="shared" si="9"/>
        <v>2026</v>
      </c>
      <c r="D184" s="24" t="s">
        <v>206</v>
      </c>
      <c r="E184" s="25" t="s">
        <v>19</v>
      </c>
      <c r="F184" s="25" t="s">
        <v>186</v>
      </c>
      <c r="G184" s="24">
        <v>109</v>
      </c>
      <c r="H184" s="19" t="str">
        <f>IF(LEN(G184)=0,"",VLOOKUP(G184,Issues!A:D,2,FALSE))</f>
        <v>(100)  Alta</v>
      </c>
      <c r="I184" s="20" t="str">
        <f>IF(LEN(G184)=0,"",VLOOKUP(G184,Issues!A:D,3,FALSE))</f>
        <v>Fallas en estructura o diseño de la lp.</v>
      </c>
      <c r="J184" s="19" t="str">
        <f>IF(LEN(G184)=0,"",VLOOKUP(G184,Issues!A:D,4,FALSE))</f>
        <v>Medio</v>
      </c>
      <c r="K184" s="21" t="str">
        <f t="shared" si="8"/>
        <v>Issue</v>
      </c>
    </row>
    <row r="185" spans="1:11" x14ac:dyDescent="0.35">
      <c r="A185" s="23">
        <v>46115</v>
      </c>
      <c r="B185" s="19" t="str">
        <f t="shared" si="7"/>
        <v>abril</v>
      </c>
      <c r="C185" s="19" t="str">
        <f t="shared" si="9"/>
        <v>2026</v>
      </c>
      <c r="D185" s="24" t="s">
        <v>208</v>
      </c>
      <c r="E185" s="25" t="s">
        <v>21</v>
      </c>
      <c r="F185" s="25" t="s">
        <v>193</v>
      </c>
      <c r="G185" s="24">
        <v>800</v>
      </c>
      <c r="H185" s="19" t="str">
        <f>IF(LEN(G185)=0,"",VLOOKUP(G185,Issues!A:D,2,FALSE))</f>
        <v>(800) Politicas especiales operadores</v>
      </c>
      <c r="I185" s="20" t="str">
        <f>IF(LEN(G185)=0,"",VLOOKUP(G185,Issues!A:D,3,FALSE))</f>
        <v>Politicas de los operadores cumplidas.</v>
      </c>
      <c r="J185" s="19" t="str">
        <f>IF(LEN(G185)=0,"",VLOOKUP(G185,Issues!A:D,4,FALSE))</f>
        <v>Prueba OK</v>
      </c>
      <c r="K185" s="21" t="str">
        <f t="shared" si="8"/>
        <v>OK</v>
      </c>
    </row>
    <row r="186" spans="1:11" x14ac:dyDescent="0.35">
      <c r="A186" s="23">
        <v>46083</v>
      </c>
      <c r="B186" s="19" t="str">
        <f t="shared" si="7"/>
        <v>marzo</v>
      </c>
      <c r="C186" s="19" t="str">
        <f t="shared" si="9"/>
        <v>2026</v>
      </c>
      <c r="D186" s="24" t="s">
        <v>206</v>
      </c>
      <c r="E186" s="25" t="s">
        <v>14</v>
      </c>
      <c r="F186" s="25" t="s">
        <v>172</v>
      </c>
      <c r="G186" s="24">
        <v>112</v>
      </c>
      <c r="H186" s="19" t="str">
        <f>IF(LEN(G186)=0,"",VLOOKUP(G186,Issues!A:D,2,FALSE))</f>
        <v>(100)  Alta</v>
      </c>
      <c r="I186" s="20" t="str">
        <f>IF(LEN(G186)=0,"",VLOOKUP(G186,Issues!A:D,3,FALSE))</f>
        <v>Falla en alta a traves de tienda.</v>
      </c>
      <c r="J186" s="19" t="str">
        <f>IF(LEN(G186)=0,"",VLOOKUP(G186,Issues!A:D,4,FALSE))</f>
        <v>Critico</v>
      </c>
      <c r="K186" s="21" t="str">
        <f t="shared" si="8"/>
        <v>Issue</v>
      </c>
    </row>
    <row r="187" spans="1:11" x14ac:dyDescent="0.35">
      <c r="A187" s="23">
        <v>46151</v>
      </c>
      <c r="B187" s="19" t="str">
        <f t="shared" si="7"/>
        <v>mayo</v>
      </c>
      <c r="C187" s="19" t="str">
        <f t="shared" si="9"/>
        <v>2026</v>
      </c>
      <c r="D187" s="24" t="s">
        <v>206</v>
      </c>
      <c r="E187" s="25" t="s">
        <v>27</v>
      </c>
      <c r="F187" s="25" t="s">
        <v>202</v>
      </c>
      <c r="G187" s="24">
        <v>705</v>
      </c>
      <c r="H187" s="19" t="str">
        <f>IF(LEN(G187)=0,"",VLOOKUP(G187,Issues!A:D,2,FALSE))</f>
        <v>(700) Interaccion MO/MT (On Demand)</v>
      </c>
      <c r="I187" s="20" t="str">
        <f>IF(LEN(G187)=0,"",VLOOKUP(G187,Issues!A:D,3,FALSE))</f>
        <v>No funcionan los kw´s especiales (info, puntaje, ayuda, etc).</v>
      </c>
      <c r="J187" s="19" t="str">
        <f>IF(LEN(G187)=0,"",VLOOKUP(G187,Issues!A:D,4,FALSE))</f>
        <v>Medio</v>
      </c>
      <c r="K187" s="21" t="str">
        <f t="shared" si="8"/>
        <v>Issue</v>
      </c>
    </row>
    <row r="188" spans="1:11" x14ac:dyDescent="0.35">
      <c r="A188" s="23">
        <v>46151</v>
      </c>
      <c r="B188" s="19" t="str">
        <f t="shared" si="7"/>
        <v>mayo</v>
      </c>
      <c r="C188" s="19" t="str">
        <f t="shared" si="9"/>
        <v>2026</v>
      </c>
      <c r="D188" s="24" t="s">
        <v>206</v>
      </c>
      <c r="E188" s="25" t="s">
        <v>11</v>
      </c>
      <c r="F188" s="25" t="s">
        <v>164</v>
      </c>
      <c r="G188" s="24">
        <v>800</v>
      </c>
      <c r="H188" s="19" t="str">
        <f>IF(LEN(G188)=0,"",VLOOKUP(G188,Issues!A:D,2,FALSE))</f>
        <v>(800) Politicas especiales operadores</v>
      </c>
      <c r="I188" s="20" t="str">
        <f>IF(LEN(G188)=0,"",VLOOKUP(G188,Issues!A:D,3,FALSE))</f>
        <v>Politicas de los operadores cumplidas.</v>
      </c>
      <c r="J188" s="19" t="str">
        <f>IF(LEN(G188)=0,"",VLOOKUP(G188,Issues!A:D,4,FALSE))</f>
        <v>Prueba OK</v>
      </c>
      <c r="K188" s="21" t="str">
        <f t="shared" si="8"/>
        <v>OK</v>
      </c>
    </row>
    <row r="189" spans="1:11" x14ac:dyDescent="0.35">
      <c r="A189" s="23">
        <v>46049</v>
      </c>
      <c r="B189" s="19" t="str">
        <f t="shared" si="7"/>
        <v>enero</v>
      </c>
      <c r="C189" s="19" t="str">
        <f t="shared" si="9"/>
        <v>2026</v>
      </c>
      <c r="D189" s="24" t="s">
        <v>207</v>
      </c>
      <c r="E189" s="25" t="s">
        <v>27</v>
      </c>
      <c r="F189" s="25" t="s">
        <v>200</v>
      </c>
      <c r="G189" s="24">
        <v>704</v>
      </c>
      <c r="H189" s="19" t="str">
        <f>IF(LEN(G189)=0,"",VLOOKUP(G189,Issues!A:D,2,FALSE))</f>
        <v>(700) Interaccion MO/MT (On Demand)</v>
      </c>
      <c r="I189" s="20" t="str">
        <f>IF(LEN(G189)=0,"",VLOOKUP(G189,Issues!A:D,3,FALSE))</f>
        <v>Fallas en puntajes, trivias, creditos, etc.</v>
      </c>
      <c r="J189" s="19" t="str">
        <f>IF(LEN(G189)=0,"",VLOOKUP(G189,Issues!A:D,4,FALSE))</f>
        <v>Critico</v>
      </c>
      <c r="K189" s="21" t="str">
        <f t="shared" si="8"/>
        <v>Issue</v>
      </c>
    </row>
    <row r="190" spans="1:11" x14ac:dyDescent="0.35">
      <c r="A190" s="23">
        <v>46140</v>
      </c>
      <c r="B190" s="19" t="str">
        <f t="shared" si="7"/>
        <v>abril</v>
      </c>
      <c r="C190" s="19" t="str">
        <f t="shared" si="9"/>
        <v>2026</v>
      </c>
      <c r="D190" s="24" t="s">
        <v>207</v>
      </c>
      <c r="E190" s="25" t="s">
        <v>13</v>
      </c>
      <c r="F190" s="25" t="s">
        <v>153</v>
      </c>
      <c r="G190" s="24">
        <v>802</v>
      </c>
      <c r="H190" s="19" t="str">
        <f>IF(LEN(G190)=0,"",VLOOKUP(G190,Issues!A:D,2,FALSE))</f>
        <v>(800) Politicas especiales operadores</v>
      </c>
      <c r="I190" s="20" t="str">
        <f>IF(LEN(G190)=0,"",VLOOKUP(G190,Issues!A:D,3,FALSE))</f>
        <v>Falla en colilla legal con info del cp.</v>
      </c>
      <c r="J190" s="19" t="str">
        <f>IF(LEN(G190)=0,"",VLOOKUP(G190,Issues!A:D,4,FALSE))</f>
        <v>Critico</v>
      </c>
      <c r="K190" s="21" t="str">
        <f t="shared" si="8"/>
        <v>Issue</v>
      </c>
    </row>
    <row r="191" spans="1:11" x14ac:dyDescent="0.35">
      <c r="A191" s="23">
        <v>46151</v>
      </c>
      <c r="B191" s="19" t="str">
        <f t="shared" si="7"/>
        <v>mayo</v>
      </c>
      <c r="C191" s="19" t="str">
        <f t="shared" si="9"/>
        <v>2026</v>
      </c>
      <c r="D191" s="24" t="s">
        <v>206</v>
      </c>
      <c r="E191" s="25" t="s">
        <v>24</v>
      </c>
      <c r="F191" s="25" t="s">
        <v>151</v>
      </c>
      <c r="G191" s="24">
        <v>301</v>
      </c>
      <c r="H191" s="19" t="str">
        <f>IF(LEN(G191)=0,"",VLOOKUP(G191,Issues!A:D,2,FALSE))</f>
        <v>(300) Cobros</v>
      </c>
      <c r="I191" s="20" t="str">
        <f>IF(LEN(G191)=0,"",VLOOKUP(G191,Issues!A:D,3,FALSE))</f>
        <v>No llego contenido (si hubo cobro).</v>
      </c>
      <c r="J191" s="19" t="str">
        <f>IF(LEN(G191)=0,"",VLOOKUP(G191,Issues!A:D,4,FALSE))</f>
        <v>Critico</v>
      </c>
      <c r="K191" s="21" t="str">
        <f t="shared" si="8"/>
        <v>Issue</v>
      </c>
    </row>
    <row r="192" spans="1:11" x14ac:dyDescent="0.35">
      <c r="A192" s="23">
        <v>46131</v>
      </c>
      <c r="B192" s="19" t="str">
        <f t="shared" si="7"/>
        <v>abril</v>
      </c>
      <c r="C192" s="19" t="str">
        <f t="shared" si="9"/>
        <v>2026</v>
      </c>
      <c r="D192" s="24" t="s">
        <v>209</v>
      </c>
      <c r="E192" s="25" t="s">
        <v>23</v>
      </c>
      <c r="F192" s="25" t="s">
        <v>195</v>
      </c>
      <c r="G192" s="24">
        <v>200</v>
      </c>
      <c r="H192" s="19" t="str">
        <f>IF(LEN(G192)=0,"",VLOOKUP(G192,Issues!A:D,2,FALSE))</f>
        <v>(200) Contenidos</v>
      </c>
      <c r="I192" s="20" t="str">
        <f>IF(LEN(G192)=0,"",VLOOKUP(G192,Issues!A:D,3,FALSE))</f>
        <v>Contenidos recibido con éxito.</v>
      </c>
      <c r="J192" s="19" t="str">
        <f>IF(LEN(G192)=0,"",VLOOKUP(G192,Issues!A:D,4,FALSE))</f>
        <v>Prueba OK</v>
      </c>
      <c r="K192" s="21" t="str">
        <f t="shared" si="8"/>
        <v>OK</v>
      </c>
    </row>
    <row r="193" spans="1:11" x14ac:dyDescent="0.35">
      <c r="A193" s="23">
        <v>46098</v>
      </c>
      <c r="B193" s="19" t="str">
        <f t="shared" si="7"/>
        <v>marzo</v>
      </c>
      <c r="C193" s="19" t="str">
        <f t="shared" si="9"/>
        <v>2026</v>
      </c>
      <c r="D193" s="24" t="s">
        <v>207</v>
      </c>
      <c r="E193" s="25" t="s">
        <v>18</v>
      </c>
      <c r="F193" s="25" t="s">
        <v>184</v>
      </c>
      <c r="G193" s="24">
        <v>506</v>
      </c>
      <c r="H193" s="19" t="str">
        <f>IF(LEN(G193)=0,"",VLOOKUP(G193,Issues!A:D,2,FALSE))</f>
        <v>(500) Baja / Cancelacion</v>
      </c>
      <c r="I193" s="20" t="str">
        <f>IF(LEN(G193)=0,"",VLOOKUP(G193,Issues!A:D,3,FALSE))</f>
        <v>No funciona la baja desde ivr.</v>
      </c>
      <c r="J193" s="19" t="str">
        <f>IF(LEN(G193)=0,"",VLOOKUP(G193,Issues!A:D,4,FALSE))</f>
        <v>Critico</v>
      </c>
      <c r="K193" s="21" t="str">
        <f t="shared" si="8"/>
        <v>Issue</v>
      </c>
    </row>
    <row r="194" spans="1:11" x14ac:dyDescent="0.35">
      <c r="A194" s="23">
        <v>46146</v>
      </c>
      <c r="B194" s="19" t="str">
        <f t="shared" si="7"/>
        <v>mayo</v>
      </c>
      <c r="C194" s="19" t="str">
        <f t="shared" si="9"/>
        <v>2026</v>
      </c>
      <c r="D194" s="24" t="s">
        <v>207</v>
      </c>
      <c r="E194" s="25" t="s">
        <v>10</v>
      </c>
      <c r="F194" s="25" t="s">
        <v>161</v>
      </c>
      <c r="G194" s="24">
        <v>300</v>
      </c>
      <c r="H194" s="19" t="str">
        <f>IF(LEN(G194)=0,"",VLOOKUP(G194,Issues!A:D,2,FALSE))</f>
        <v>(300) Cobros</v>
      </c>
      <c r="I194" s="20" t="str">
        <f>IF(LEN(G194)=0,"",VLOOKUP(G194,Issues!A:D,3,FALSE))</f>
        <v>Cobro en valor y forma correcto.</v>
      </c>
      <c r="J194" s="19" t="str">
        <f>IF(LEN(G194)=0,"",VLOOKUP(G194,Issues!A:D,4,FALSE))</f>
        <v>Prueba OK</v>
      </c>
      <c r="K194" s="21" t="str">
        <f t="shared" si="8"/>
        <v>OK</v>
      </c>
    </row>
    <row r="195" spans="1:11" x14ac:dyDescent="0.35">
      <c r="A195" s="23">
        <v>46052</v>
      </c>
      <c r="B195" s="19" t="str">
        <f t="shared" ref="B195:B258" si="10">IF(LEN(A195)=0,"",TEXT(A195,"mmmm"))</f>
        <v>enero</v>
      </c>
      <c r="C195" s="19" t="str">
        <f t="shared" si="9"/>
        <v>2026</v>
      </c>
      <c r="D195" s="24" t="s">
        <v>207</v>
      </c>
      <c r="E195" s="25" t="s">
        <v>22</v>
      </c>
      <c r="F195" s="25" t="s">
        <v>158</v>
      </c>
      <c r="G195" s="24">
        <v>300</v>
      </c>
      <c r="H195" s="19" t="str">
        <f>IF(LEN(G195)=0,"",VLOOKUP(G195,Issues!A:D,2,FALSE))</f>
        <v>(300) Cobros</v>
      </c>
      <c r="I195" s="20" t="str">
        <f>IF(LEN(G195)=0,"",VLOOKUP(G195,Issues!A:D,3,FALSE))</f>
        <v>Cobro en valor y forma correcto.</v>
      </c>
      <c r="J195" s="19" t="str">
        <f>IF(LEN(G195)=0,"",VLOOKUP(G195,Issues!A:D,4,FALSE))</f>
        <v>Prueba OK</v>
      </c>
      <c r="K195" s="21" t="str">
        <f t="shared" ref="K195:K258" si="11">IF(LEN(G195)=0,"",IF(OR(J195="critico",J195="Medio",J195="Bajo"),"Issue",IF(J195="Prueba OK","OK","")))</f>
        <v>OK</v>
      </c>
    </row>
    <row r="196" spans="1:11" x14ac:dyDescent="0.35">
      <c r="A196" s="23">
        <v>46088</v>
      </c>
      <c r="B196" s="19" t="str">
        <f t="shared" si="10"/>
        <v>marzo</v>
      </c>
      <c r="C196" s="19" t="str">
        <f t="shared" si="9"/>
        <v>2026</v>
      </c>
      <c r="D196" s="24" t="s">
        <v>207</v>
      </c>
      <c r="E196" s="25" t="s">
        <v>11</v>
      </c>
      <c r="F196" s="25" t="s">
        <v>166</v>
      </c>
      <c r="G196" s="24">
        <v>100</v>
      </c>
      <c r="H196" s="19" t="str">
        <f>IF(LEN(G196)=0,"",VLOOKUP(G196,Issues!A:D,2,FALSE))</f>
        <v>(100)  Alta</v>
      </c>
      <c r="I196" s="20" t="str">
        <f>IF(LEN(G196)=0,"",VLOOKUP(G196,Issues!A:D,3,FALSE))</f>
        <v>Alta con éxito.</v>
      </c>
      <c r="J196" s="19" t="str">
        <f>IF(LEN(G196)=0,"",VLOOKUP(G196,Issues!A:D,4,FALSE))</f>
        <v>Prueba OK</v>
      </c>
      <c r="K196" s="21" t="str">
        <f t="shared" si="11"/>
        <v>OK</v>
      </c>
    </row>
    <row r="197" spans="1:11" x14ac:dyDescent="0.35">
      <c r="A197" s="23">
        <v>46076</v>
      </c>
      <c r="B197" s="19" t="str">
        <f t="shared" si="10"/>
        <v>febrero</v>
      </c>
      <c r="C197" s="19" t="str">
        <f t="shared" si="9"/>
        <v>2026</v>
      </c>
      <c r="D197" s="24" t="s">
        <v>206</v>
      </c>
      <c r="E197" s="25" t="s">
        <v>18</v>
      </c>
      <c r="F197" s="25" t="s">
        <v>183</v>
      </c>
      <c r="G197" s="24">
        <v>112</v>
      </c>
      <c r="H197" s="19" t="str">
        <f>IF(LEN(G197)=0,"",VLOOKUP(G197,Issues!A:D,2,FALSE))</f>
        <v>(100)  Alta</v>
      </c>
      <c r="I197" s="20" t="str">
        <f>IF(LEN(G197)=0,"",VLOOKUP(G197,Issues!A:D,3,FALSE))</f>
        <v>Falla en alta a traves de tienda.</v>
      </c>
      <c r="J197" s="19" t="str">
        <f>IF(LEN(G197)=0,"",VLOOKUP(G197,Issues!A:D,4,FALSE))</f>
        <v>Critico</v>
      </c>
      <c r="K197" s="21" t="str">
        <f t="shared" si="11"/>
        <v>Issue</v>
      </c>
    </row>
    <row r="198" spans="1:11" x14ac:dyDescent="0.35">
      <c r="A198" s="23">
        <v>46130</v>
      </c>
      <c r="B198" s="19" t="str">
        <f t="shared" si="10"/>
        <v>abril</v>
      </c>
      <c r="C198" s="19" t="str">
        <f t="shared" si="9"/>
        <v>2026</v>
      </c>
      <c r="D198" s="24" t="s">
        <v>206</v>
      </c>
      <c r="E198" s="25" t="s">
        <v>14</v>
      </c>
      <c r="F198" s="25" t="s">
        <v>171</v>
      </c>
      <c r="G198" s="24">
        <v>200</v>
      </c>
      <c r="H198" s="19" t="str">
        <f>IF(LEN(G198)=0,"",VLOOKUP(G198,Issues!A:D,2,FALSE))</f>
        <v>(200) Contenidos</v>
      </c>
      <c r="I198" s="20" t="str">
        <f>IF(LEN(G198)=0,"",VLOOKUP(G198,Issues!A:D,3,FALSE))</f>
        <v>Contenidos recibido con éxito.</v>
      </c>
      <c r="J198" s="19" t="str">
        <f>IF(LEN(G198)=0,"",VLOOKUP(G198,Issues!A:D,4,FALSE))</f>
        <v>Prueba OK</v>
      </c>
      <c r="K198" s="21" t="str">
        <f t="shared" si="11"/>
        <v>OK</v>
      </c>
    </row>
    <row r="199" spans="1:11" x14ac:dyDescent="0.35">
      <c r="A199" s="23">
        <v>46075</v>
      </c>
      <c r="B199" s="19" t="str">
        <f t="shared" si="10"/>
        <v>febrero</v>
      </c>
      <c r="C199" s="19" t="str">
        <f t="shared" si="9"/>
        <v>2026</v>
      </c>
      <c r="D199" s="24" t="s">
        <v>207</v>
      </c>
      <c r="E199" s="25" t="s">
        <v>20</v>
      </c>
      <c r="F199" s="25" t="s">
        <v>189</v>
      </c>
      <c r="G199" s="24">
        <v>203</v>
      </c>
      <c r="H199" s="19" t="str">
        <f>IF(LEN(G199)=0,"",VLOOKUP(G199,Issues!A:D,2,FALSE))</f>
        <v>(200) Contenidos</v>
      </c>
      <c r="I199" s="20" t="str">
        <f>IF(LEN(G199)=0,"",VLOOKUP(G199,Issues!A:D,3,FALSE))</f>
        <v>Entrega de mensajeria sms con delay.</v>
      </c>
      <c r="J199" s="19" t="str">
        <f>IF(LEN(G199)=0,"",VLOOKUP(G199,Issues!A:D,4,FALSE))</f>
        <v>Bajo</v>
      </c>
      <c r="K199" s="21" t="str">
        <f t="shared" si="11"/>
        <v>Issue</v>
      </c>
    </row>
    <row r="200" spans="1:11" x14ac:dyDescent="0.35">
      <c r="A200" s="23">
        <v>46148</v>
      </c>
      <c r="B200" s="19" t="str">
        <f t="shared" si="10"/>
        <v>mayo</v>
      </c>
      <c r="C200" s="19" t="str">
        <f t="shared" si="9"/>
        <v>2026</v>
      </c>
      <c r="D200" s="24" t="s">
        <v>206</v>
      </c>
      <c r="E200" s="25" t="s">
        <v>20</v>
      </c>
      <c r="F200" s="25" t="s">
        <v>190</v>
      </c>
      <c r="G200" s="24">
        <v>201</v>
      </c>
      <c r="H200" s="19" t="str">
        <f>IF(LEN(G200)=0,"",VLOOKUP(G200,Issues!A:D,2,FALSE))</f>
        <v>(200) Contenidos</v>
      </c>
      <c r="I200" s="20" t="str">
        <f>IF(LEN(G200)=0,"",VLOOKUP(G200,Issues!A:D,3,FALSE))</f>
        <v>Entrega de mensaje fuera de horario establecido.</v>
      </c>
      <c r="J200" s="19" t="str">
        <f>IF(LEN(G200)=0,"",VLOOKUP(G200,Issues!A:D,4,FALSE))</f>
        <v>Critico</v>
      </c>
      <c r="K200" s="21" t="str">
        <f t="shared" si="11"/>
        <v>Issue</v>
      </c>
    </row>
    <row r="201" spans="1:11" x14ac:dyDescent="0.35">
      <c r="A201" s="23">
        <v>46024</v>
      </c>
      <c r="B201" s="19" t="str">
        <f t="shared" si="10"/>
        <v>enero</v>
      </c>
      <c r="C201" s="19" t="str">
        <f t="shared" si="9"/>
        <v>2026</v>
      </c>
      <c r="D201" s="24" t="s">
        <v>207</v>
      </c>
      <c r="E201" s="25" t="s">
        <v>22</v>
      </c>
      <c r="F201" s="25" t="s">
        <v>158</v>
      </c>
      <c r="G201" s="24">
        <v>100</v>
      </c>
      <c r="H201" s="19" t="str">
        <f>IF(LEN(G201)=0,"",VLOOKUP(G201,Issues!A:D,2,FALSE))</f>
        <v>(100)  Alta</v>
      </c>
      <c r="I201" s="20" t="str">
        <f>IF(LEN(G201)=0,"",VLOOKUP(G201,Issues!A:D,3,FALSE))</f>
        <v>Alta con éxito.</v>
      </c>
      <c r="J201" s="19" t="str">
        <f>IF(LEN(G201)=0,"",VLOOKUP(G201,Issues!A:D,4,FALSE))</f>
        <v>Prueba OK</v>
      </c>
      <c r="K201" s="21" t="str">
        <f t="shared" si="11"/>
        <v>OK</v>
      </c>
    </row>
    <row r="202" spans="1:11" x14ac:dyDescent="0.35">
      <c r="A202" s="23">
        <v>46100</v>
      </c>
      <c r="B202" s="19" t="str">
        <f t="shared" si="10"/>
        <v>marzo</v>
      </c>
      <c r="C202" s="19" t="str">
        <f t="shared" si="9"/>
        <v>2026</v>
      </c>
      <c r="D202" s="24" t="s">
        <v>206</v>
      </c>
      <c r="E202" s="25" t="s">
        <v>24</v>
      </c>
      <c r="F202" s="25" t="s">
        <v>155</v>
      </c>
      <c r="G202" s="24">
        <v>703</v>
      </c>
      <c r="H202" s="19" t="str">
        <f>IF(LEN(G202)=0,"",VLOOKUP(G202,Issues!A:D,2,FALSE))</f>
        <v>(700) Interaccion MO/MT (On Demand)</v>
      </c>
      <c r="I202" s="20" t="str">
        <f>IF(LEN(G202)=0,"",VLOOKUP(G202,Issues!A:D,3,FALSE))</f>
        <v>Fallas en la interaccion mo/mt.</v>
      </c>
      <c r="J202" s="19" t="str">
        <f>IF(LEN(G202)=0,"",VLOOKUP(G202,Issues!A:D,4,FALSE))</f>
        <v>Critico</v>
      </c>
      <c r="K202" s="21" t="str">
        <f t="shared" si="11"/>
        <v>Issue</v>
      </c>
    </row>
    <row r="203" spans="1:11" x14ac:dyDescent="0.35">
      <c r="A203" s="23">
        <v>46079</v>
      </c>
      <c r="B203" s="19" t="str">
        <f t="shared" si="10"/>
        <v>febrero</v>
      </c>
      <c r="C203" s="19" t="str">
        <f t="shared" si="9"/>
        <v>2026</v>
      </c>
      <c r="D203" s="24" t="s">
        <v>206</v>
      </c>
      <c r="E203" s="25" t="s">
        <v>19</v>
      </c>
      <c r="F203" s="25" t="s">
        <v>186</v>
      </c>
      <c r="G203" s="24">
        <v>500</v>
      </c>
      <c r="H203" s="19" t="str">
        <f>IF(LEN(G203)=0,"",VLOOKUP(G203,Issues!A:D,2,FALSE))</f>
        <v>(500) Baja / Cancelacion</v>
      </c>
      <c r="I203" s="20" t="s">
        <v>147</v>
      </c>
      <c r="J203" s="19" t="s">
        <v>86</v>
      </c>
      <c r="K203" s="21" t="str">
        <f t="shared" si="11"/>
        <v>OK</v>
      </c>
    </row>
    <row r="204" spans="1:11" x14ac:dyDescent="0.35">
      <c r="A204" s="23">
        <v>46146</v>
      </c>
      <c r="B204" s="19" t="str">
        <f t="shared" si="10"/>
        <v>mayo</v>
      </c>
      <c r="C204" s="19" t="str">
        <f t="shared" si="9"/>
        <v>2026</v>
      </c>
      <c r="D204" s="24" t="s">
        <v>207</v>
      </c>
      <c r="E204" s="25" t="s">
        <v>18</v>
      </c>
      <c r="F204" s="25" t="s">
        <v>183</v>
      </c>
      <c r="G204" s="24">
        <v>403</v>
      </c>
      <c r="H204" s="19" t="str">
        <f>IF(LEN(G204)=0,"",VLOOKUP(G204,Issues!A:D,2,FALSE))</f>
        <v>(400) Portales / Web-App</v>
      </c>
      <c r="I204" s="20" t="s">
        <v>87</v>
      </c>
      <c r="J204" s="19" t="s">
        <v>86</v>
      </c>
      <c r="K204" s="21" t="str">
        <f t="shared" si="11"/>
        <v>OK</v>
      </c>
    </row>
    <row r="205" spans="1:11" x14ac:dyDescent="0.35">
      <c r="A205" s="23">
        <v>46082</v>
      </c>
      <c r="B205" s="19" t="str">
        <f t="shared" si="10"/>
        <v>marzo</v>
      </c>
      <c r="C205" s="19" t="str">
        <f t="shared" si="9"/>
        <v>2026</v>
      </c>
      <c r="D205" s="24" t="s">
        <v>210</v>
      </c>
      <c r="E205" s="25" t="s">
        <v>22</v>
      </c>
      <c r="F205" s="25" t="s">
        <v>154</v>
      </c>
      <c r="G205" s="24">
        <v>300</v>
      </c>
      <c r="H205" s="19" t="str">
        <f>IF(LEN(G205)=0,"",VLOOKUP(G205,Issues!A:D,2,FALSE))</f>
        <v>(300) Cobros</v>
      </c>
      <c r="I205" s="20" t="s">
        <v>118</v>
      </c>
      <c r="J205" s="19" t="s">
        <v>7</v>
      </c>
      <c r="K205" s="21" t="str">
        <f t="shared" si="11"/>
        <v>Issue</v>
      </c>
    </row>
    <row r="206" spans="1:11" x14ac:dyDescent="0.35">
      <c r="A206" s="23">
        <v>46145</v>
      </c>
      <c r="B206" s="19" t="str">
        <f t="shared" si="10"/>
        <v>mayo</v>
      </c>
      <c r="C206" s="19" t="str">
        <f t="shared" si="9"/>
        <v>2026</v>
      </c>
      <c r="D206" s="24" t="s">
        <v>206</v>
      </c>
      <c r="E206" s="25" t="s">
        <v>22</v>
      </c>
      <c r="F206" s="25" t="s">
        <v>158</v>
      </c>
      <c r="G206" s="24">
        <v>700</v>
      </c>
      <c r="H206" s="19" t="str">
        <f>IF(LEN(G206)=0,"",VLOOKUP(G206,Issues!A:D,2,FALSE))</f>
        <v>(700) Interaccion MO/MT (On Demand)</v>
      </c>
      <c r="I206" s="20" t="s">
        <v>104</v>
      </c>
      <c r="J206" s="19" t="s">
        <v>9</v>
      </c>
      <c r="K206" s="21" t="str">
        <f t="shared" si="11"/>
        <v>Issue</v>
      </c>
    </row>
    <row r="207" spans="1:11" x14ac:dyDescent="0.35">
      <c r="A207" s="23">
        <v>46126</v>
      </c>
      <c r="B207" s="19" t="str">
        <f t="shared" si="10"/>
        <v>abril</v>
      </c>
      <c r="C207" s="19" t="str">
        <f t="shared" si="9"/>
        <v>2026</v>
      </c>
      <c r="D207" s="24" t="s">
        <v>206</v>
      </c>
      <c r="E207" s="25" t="s">
        <v>21</v>
      </c>
      <c r="F207" s="25" t="s">
        <v>191</v>
      </c>
      <c r="G207" s="24">
        <v>700</v>
      </c>
      <c r="H207" s="19" t="str">
        <f>IF(LEN(G207)=0,"",VLOOKUP(G207,Issues!A:D,2,FALSE))</f>
        <v>(700) Interaccion MO/MT (On Demand)</v>
      </c>
      <c r="I207" s="20" t="s">
        <v>105</v>
      </c>
      <c r="J207" s="19" t="s">
        <v>7</v>
      </c>
      <c r="K207" s="21" t="str">
        <f t="shared" si="11"/>
        <v>Issue</v>
      </c>
    </row>
    <row r="208" spans="1:11" x14ac:dyDescent="0.35">
      <c r="A208" s="23">
        <v>46079</v>
      </c>
      <c r="B208" s="19" t="str">
        <f t="shared" si="10"/>
        <v>febrero</v>
      </c>
      <c r="C208" s="19" t="str">
        <f t="shared" si="9"/>
        <v>2026</v>
      </c>
      <c r="D208" s="24" t="s">
        <v>206</v>
      </c>
      <c r="E208" s="25" t="s">
        <v>13</v>
      </c>
      <c r="F208" s="25" t="s">
        <v>157</v>
      </c>
      <c r="G208" s="24">
        <v>100</v>
      </c>
      <c r="H208" s="19" t="str">
        <f>IF(LEN(G208)=0,"",VLOOKUP(G208,Issues!A:D,2,FALSE))</f>
        <v>(100)  Alta</v>
      </c>
      <c r="I208" s="20" t="s">
        <v>143</v>
      </c>
      <c r="J208" s="19" t="s">
        <v>86</v>
      </c>
      <c r="K208" s="21" t="str">
        <f t="shared" si="11"/>
        <v>OK</v>
      </c>
    </row>
    <row r="209" spans="1:11" x14ac:dyDescent="0.35">
      <c r="A209" s="23">
        <v>46079</v>
      </c>
      <c r="B209" s="19" t="str">
        <f t="shared" si="10"/>
        <v>febrero</v>
      </c>
      <c r="C209" s="19" t="str">
        <f t="shared" si="9"/>
        <v>2026</v>
      </c>
      <c r="D209" s="24" t="s">
        <v>207</v>
      </c>
      <c r="E209" s="25" t="s">
        <v>27</v>
      </c>
      <c r="F209" s="25" t="s">
        <v>200</v>
      </c>
      <c r="G209" s="24">
        <v>301</v>
      </c>
      <c r="H209" s="19" t="str">
        <f>IF(LEN(G209)=0,"",VLOOKUP(G209,Issues!A:D,2,FALSE))</f>
        <v>(300) Cobros</v>
      </c>
      <c r="I209" s="20" t="s">
        <v>119</v>
      </c>
      <c r="J209" s="19" t="s">
        <v>7</v>
      </c>
      <c r="K209" s="21" t="str">
        <f t="shared" si="11"/>
        <v>Issue</v>
      </c>
    </row>
    <row r="210" spans="1:11" x14ac:dyDescent="0.35">
      <c r="A210" s="23">
        <v>46111</v>
      </c>
      <c r="B210" s="19" t="str">
        <f t="shared" si="10"/>
        <v>marzo</v>
      </c>
      <c r="C210" s="19" t="str">
        <f t="shared" si="9"/>
        <v>2026</v>
      </c>
      <c r="D210" s="25" t="s">
        <v>208</v>
      </c>
      <c r="E210" s="25" t="s">
        <v>22</v>
      </c>
      <c r="F210" s="25" t="s">
        <v>154</v>
      </c>
      <c r="G210" s="24">
        <v>300</v>
      </c>
      <c r="H210" s="19" t="str">
        <f>IF(LEN(G210)=0,"",VLOOKUP(G210,Issues!A:D,2,FALSE))</f>
        <v>(300) Cobros</v>
      </c>
      <c r="I210" s="20" t="str">
        <f>IF(LEN(G210)=0,"",VLOOKUP(G210,Issues!A:D,3,FALSE))</f>
        <v>Cobro en valor y forma correcto.</v>
      </c>
      <c r="J210" s="19" t="str">
        <f>IF(LEN(G210)=0,"",VLOOKUP(G210,Issues!A:D,4,FALSE))</f>
        <v>Prueba OK</v>
      </c>
      <c r="K210" s="21" t="str">
        <f t="shared" si="11"/>
        <v>OK</v>
      </c>
    </row>
    <row r="211" spans="1:11" x14ac:dyDescent="0.35">
      <c r="A211" s="23">
        <v>46112</v>
      </c>
      <c r="B211" s="19" t="str">
        <f t="shared" si="10"/>
        <v>marzo</v>
      </c>
      <c r="C211" s="19" t="str">
        <f t="shared" ref="C211:C274" si="12">IF(LEN(A211)=0,"",TEXT(A211,"aaaa"))</f>
        <v>2026</v>
      </c>
      <c r="D211" s="25" t="s">
        <v>206</v>
      </c>
      <c r="E211" s="25" t="s">
        <v>19</v>
      </c>
      <c r="F211" s="25" t="s">
        <v>185</v>
      </c>
      <c r="G211" s="24">
        <v>301</v>
      </c>
      <c r="H211" s="19" t="str">
        <f>IF(LEN(G211)=0,"",VLOOKUP(G211,Issues!A:D,2,FALSE))</f>
        <v>(300) Cobros</v>
      </c>
      <c r="I211" s="20" t="str">
        <f>IF(LEN(G211)=0,"",VLOOKUP(G211,Issues!A:D,3,FALSE))</f>
        <v>No llego contenido (si hubo cobro).</v>
      </c>
      <c r="J211" s="19" t="str">
        <f>IF(LEN(G211)=0,"",VLOOKUP(G211,Issues!A:D,4,FALSE))</f>
        <v>Critico</v>
      </c>
      <c r="K211" s="21" t="str">
        <f t="shared" si="11"/>
        <v>Issue</v>
      </c>
    </row>
    <row r="212" spans="1:11" x14ac:dyDescent="0.35">
      <c r="A212" s="23">
        <v>46098</v>
      </c>
      <c r="B212" s="19" t="str">
        <f t="shared" si="10"/>
        <v>marzo</v>
      </c>
      <c r="C212" s="19" t="str">
        <f t="shared" si="12"/>
        <v>2026</v>
      </c>
      <c r="D212" s="25" t="s">
        <v>206</v>
      </c>
      <c r="E212" s="25" t="s">
        <v>21</v>
      </c>
      <c r="F212" s="25" t="s">
        <v>193</v>
      </c>
      <c r="G212" s="24">
        <v>301</v>
      </c>
      <c r="H212" s="19" t="str">
        <f>IF(LEN(G212)=0,"",VLOOKUP(G212,Issues!A:D,2,FALSE))</f>
        <v>(300) Cobros</v>
      </c>
      <c r="I212" s="20" t="str">
        <f>IF(LEN(G212)=0,"",VLOOKUP(G212,Issues!A:D,3,FALSE))</f>
        <v>No llego contenido (si hubo cobro).</v>
      </c>
      <c r="J212" s="19" t="str">
        <f>IF(LEN(G212)=0,"",VLOOKUP(G212,Issues!A:D,4,FALSE))</f>
        <v>Critico</v>
      </c>
      <c r="K212" s="21" t="str">
        <f t="shared" si="11"/>
        <v>Issue</v>
      </c>
    </row>
    <row r="213" spans="1:11" x14ac:dyDescent="0.35">
      <c r="A213" s="23">
        <v>46112</v>
      </c>
      <c r="B213" s="19" t="str">
        <f t="shared" si="10"/>
        <v>marzo</v>
      </c>
      <c r="C213" s="19" t="str">
        <f t="shared" si="12"/>
        <v>2026</v>
      </c>
      <c r="D213" s="25" t="s">
        <v>210</v>
      </c>
      <c r="E213" s="25" t="s">
        <v>12</v>
      </c>
      <c r="F213" s="25" t="s">
        <v>167</v>
      </c>
      <c r="G213" s="24">
        <v>306</v>
      </c>
      <c r="H213" s="19" t="str">
        <f>IF(LEN(G213)=0,"",VLOOKUP(G213,Issues!A:D,2,FALSE))</f>
        <v>(300) Cobros</v>
      </c>
      <c r="I213" s="20" t="str">
        <f>IF(LEN(G213)=0,"",VLOOKUP(G213,Issues!A:D,3,FALSE))</f>
        <v>Inconsistencias en la recurrencia del cobro.</v>
      </c>
      <c r="J213" s="19" t="str">
        <f>IF(LEN(G213)=0,"",VLOOKUP(G213,Issues!A:D,4,FALSE))</f>
        <v>Critico</v>
      </c>
      <c r="K213" s="21" t="str">
        <f t="shared" si="11"/>
        <v>Issue</v>
      </c>
    </row>
    <row r="214" spans="1:11" x14ac:dyDescent="0.35">
      <c r="A214" s="23">
        <v>46055</v>
      </c>
      <c r="B214" s="19" t="str">
        <f t="shared" si="10"/>
        <v>febrero</v>
      </c>
      <c r="C214" s="19" t="str">
        <f t="shared" si="12"/>
        <v>2026</v>
      </c>
      <c r="D214" s="25" t="s">
        <v>206</v>
      </c>
      <c r="E214" s="25" t="s">
        <v>15</v>
      </c>
      <c r="F214" s="25" t="s">
        <v>173</v>
      </c>
      <c r="G214" s="24">
        <v>700</v>
      </c>
      <c r="H214" s="19" t="str">
        <f>IF(LEN(G214)=0,"",VLOOKUP(G214,Issues!A:D,2,FALSE))</f>
        <v>(700) Interaccion MO/MT (On Demand)</v>
      </c>
      <c r="I214" s="20" t="str">
        <f>IF(LEN(G214)=0,"",VLOOKUP(G214,Issues!A:D,3,FALSE))</f>
        <v>Flujo MO/MT con éxito.</v>
      </c>
      <c r="J214" s="19" t="str">
        <f>IF(LEN(G214)=0,"",VLOOKUP(G214,Issues!A:D,4,FALSE))</f>
        <v>Prueba OK</v>
      </c>
      <c r="K214" s="21" t="str">
        <f t="shared" si="11"/>
        <v>OK</v>
      </c>
    </row>
    <row r="215" spans="1:11" x14ac:dyDescent="0.35">
      <c r="A215" s="23">
        <v>46148</v>
      </c>
      <c r="B215" s="19" t="str">
        <f t="shared" si="10"/>
        <v>mayo</v>
      </c>
      <c r="C215" s="19" t="str">
        <f t="shared" si="12"/>
        <v>2026</v>
      </c>
      <c r="D215" s="25" t="s">
        <v>206</v>
      </c>
      <c r="E215" s="25" t="s">
        <v>19</v>
      </c>
      <c r="F215" s="25" t="s">
        <v>185</v>
      </c>
      <c r="G215" s="24">
        <v>200</v>
      </c>
      <c r="H215" s="19" t="str">
        <f>IF(LEN(G215)=0,"",VLOOKUP(G215,Issues!A:D,2,FALSE))</f>
        <v>(200) Contenidos</v>
      </c>
      <c r="I215" s="20" t="str">
        <f>IF(LEN(G215)=0,"",VLOOKUP(G215,Issues!A:D,3,FALSE))</f>
        <v>Contenidos recibido con éxito.</v>
      </c>
      <c r="J215" s="19" t="str">
        <f>IF(LEN(G215)=0,"",VLOOKUP(G215,Issues!A:D,4,FALSE))</f>
        <v>Prueba OK</v>
      </c>
      <c r="K215" s="21" t="str">
        <f t="shared" si="11"/>
        <v>OK</v>
      </c>
    </row>
    <row r="216" spans="1:11" x14ac:dyDescent="0.35">
      <c r="A216" s="23">
        <v>46140</v>
      </c>
      <c r="B216" s="19" t="str">
        <f t="shared" si="10"/>
        <v>abril</v>
      </c>
      <c r="C216" s="19" t="str">
        <f t="shared" si="12"/>
        <v>2026</v>
      </c>
      <c r="D216" s="25" t="s">
        <v>207</v>
      </c>
      <c r="E216" s="25" t="s">
        <v>23</v>
      </c>
      <c r="F216" s="25" t="s">
        <v>195</v>
      </c>
      <c r="G216" s="24">
        <v>801</v>
      </c>
      <c r="H216" s="19" t="str">
        <f>IF(LEN(G216)=0,"",VLOOKUP(G216,Issues!A:D,2,FALSE))</f>
        <v>(800) Politicas especiales operadores</v>
      </c>
      <c r="I216" s="20" t="str">
        <f>IF(LEN(G216)=0,"",VLOOKUP(G216,Issues!A:D,3,FALSE))</f>
        <v>No da respuesta a kw regulatorio.</v>
      </c>
      <c r="J216" s="19" t="str">
        <f>IF(LEN(G216)=0,"",VLOOKUP(G216,Issues!A:D,4,FALSE))</f>
        <v>Critico</v>
      </c>
      <c r="K216" s="21" t="str">
        <f t="shared" si="11"/>
        <v>Issue</v>
      </c>
    </row>
    <row r="217" spans="1:11" x14ac:dyDescent="0.35">
      <c r="A217" s="23">
        <v>46099</v>
      </c>
      <c r="B217" s="19" t="str">
        <f t="shared" si="10"/>
        <v>marzo</v>
      </c>
      <c r="C217" s="19" t="str">
        <f t="shared" si="12"/>
        <v>2026</v>
      </c>
      <c r="D217" s="25" t="s">
        <v>206</v>
      </c>
      <c r="E217" s="25" t="s">
        <v>14</v>
      </c>
      <c r="F217" s="25" t="s">
        <v>171</v>
      </c>
      <c r="G217" s="24">
        <v>112</v>
      </c>
      <c r="H217" s="19" t="str">
        <f>IF(LEN(G217)=0,"",VLOOKUP(G217,Issues!A:D,2,FALSE))</f>
        <v>(100)  Alta</v>
      </c>
      <c r="I217" s="20" t="str">
        <f>IF(LEN(G217)=0,"",VLOOKUP(G217,Issues!A:D,3,FALSE))</f>
        <v>Falla en alta a traves de tienda.</v>
      </c>
      <c r="J217" s="19" t="str">
        <f>IF(LEN(G217)=0,"",VLOOKUP(G217,Issues!A:D,4,FALSE))</f>
        <v>Critico</v>
      </c>
      <c r="K217" s="21" t="str">
        <f t="shared" si="11"/>
        <v>Issue</v>
      </c>
    </row>
    <row r="218" spans="1:11" x14ac:dyDescent="0.35">
      <c r="A218" s="23">
        <v>46052</v>
      </c>
      <c r="B218" s="19" t="str">
        <f t="shared" si="10"/>
        <v>enero</v>
      </c>
      <c r="C218" s="19" t="str">
        <f t="shared" si="12"/>
        <v>2026</v>
      </c>
      <c r="D218" s="25" t="s">
        <v>207</v>
      </c>
      <c r="E218" s="25" t="s">
        <v>18</v>
      </c>
      <c r="F218" s="25" t="s">
        <v>183</v>
      </c>
      <c r="G218" s="24">
        <v>200</v>
      </c>
      <c r="H218" s="19" t="str">
        <f>IF(LEN(G218)=0,"",VLOOKUP(G218,Issues!A:D,2,FALSE))</f>
        <v>(200) Contenidos</v>
      </c>
      <c r="I218" s="20" t="str">
        <f>IF(LEN(G218)=0,"",VLOOKUP(G218,Issues!A:D,3,FALSE))</f>
        <v>Contenidos recibido con éxito.</v>
      </c>
      <c r="J218" s="19" t="str">
        <f>IF(LEN(G218)=0,"",VLOOKUP(G218,Issues!A:D,4,FALSE))</f>
        <v>Prueba OK</v>
      </c>
      <c r="K218" s="21" t="str">
        <f t="shared" si="11"/>
        <v>OK</v>
      </c>
    </row>
    <row r="219" spans="1:11" x14ac:dyDescent="0.35">
      <c r="A219" s="23">
        <v>46129</v>
      </c>
      <c r="B219" s="19" t="str">
        <f t="shared" si="10"/>
        <v>abril</v>
      </c>
      <c r="C219" s="19" t="str">
        <f t="shared" si="12"/>
        <v>2026</v>
      </c>
      <c r="D219" s="25" t="s">
        <v>206</v>
      </c>
      <c r="E219" s="25" t="s">
        <v>10</v>
      </c>
      <c r="F219" s="25" t="s">
        <v>162</v>
      </c>
      <c r="G219" s="24">
        <v>507</v>
      </c>
      <c r="H219" s="19" t="str">
        <f>IF(LEN(G219)=0,"",VLOOKUP(G219,Issues!A:D,2,FALSE))</f>
        <v>(500) Baja / Cancelacion</v>
      </c>
      <c r="I219" s="20" t="str">
        <f>IF(LEN(G219)=0,"",VLOOKUP(G219,Issues!A:D,3,FALSE))</f>
        <v>No funciona la baja desde portal / web app.</v>
      </c>
      <c r="J219" s="19" t="str">
        <f>IF(LEN(G219)=0,"",VLOOKUP(G219,Issues!A:D,4,FALSE))</f>
        <v>Critico</v>
      </c>
      <c r="K219" s="21" t="str">
        <f t="shared" si="11"/>
        <v>Issue</v>
      </c>
    </row>
    <row r="220" spans="1:11" x14ac:dyDescent="0.35">
      <c r="A220" s="23">
        <v>46054</v>
      </c>
      <c r="B220" s="19" t="str">
        <f t="shared" si="10"/>
        <v>febrero</v>
      </c>
      <c r="C220" s="19" t="str">
        <f t="shared" si="12"/>
        <v>2026</v>
      </c>
      <c r="D220" s="25" t="s">
        <v>208</v>
      </c>
      <c r="E220" s="25" t="s">
        <v>16</v>
      </c>
      <c r="F220" s="25" t="s">
        <v>177</v>
      </c>
      <c r="G220" s="24">
        <v>407</v>
      </c>
      <c r="H220" s="19" t="str">
        <f>IF(LEN(G220)=0,"",VLOOKUP(G220,Issues!A:D,2,FALSE))</f>
        <v>(400) Portales / Web-App</v>
      </c>
      <c r="I220" s="20" t="str">
        <f>IF(LEN(G220)=0,"",VLOOKUP(G220,Issues!A:D,3,FALSE))</f>
        <v>No funciona la interaccion.</v>
      </c>
      <c r="J220" s="19" t="str">
        <f>IF(LEN(G220)=0,"",VLOOKUP(G220,Issues!A:D,4,FALSE))</f>
        <v>Critico</v>
      </c>
      <c r="K220" s="21" t="str">
        <f t="shared" si="11"/>
        <v>Issue</v>
      </c>
    </row>
    <row r="221" spans="1:11" x14ac:dyDescent="0.35">
      <c r="A221" s="23">
        <v>46045</v>
      </c>
      <c r="B221" s="19" t="str">
        <f t="shared" si="10"/>
        <v>enero</v>
      </c>
      <c r="C221" s="19" t="str">
        <f t="shared" si="12"/>
        <v>2026</v>
      </c>
      <c r="D221" s="25" t="s">
        <v>206</v>
      </c>
      <c r="E221" s="25" t="s">
        <v>27</v>
      </c>
      <c r="F221" s="25" t="s">
        <v>200</v>
      </c>
      <c r="G221" s="24">
        <v>800</v>
      </c>
      <c r="H221" s="19" t="str">
        <f>IF(LEN(G221)=0,"",VLOOKUP(G221,Issues!A:D,2,FALSE))</f>
        <v>(800) Politicas especiales operadores</v>
      </c>
      <c r="I221" s="20" t="str">
        <f>IF(LEN(G221)=0,"",VLOOKUP(G221,Issues!A:D,3,FALSE))</f>
        <v>Politicas de los operadores cumplidas.</v>
      </c>
      <c r="J221" s="19" t="str">
        <f>IF(LEN(G221)=0,"",VLOOKUP(G221,Issues!A:D,4,FALSE))</f>
        <v>Prueba OK</v>
      </c>
      <c r="K221" s="21" t="str">
        <f t="shared" si="11"/>
        <v>OK</v>
      </c>
    </row>
    <row r="222" spans="1:11" x14ac:dyDescent="0.35">
      <c r="A222" s="23">
        <v>46053</v>
      </c>
      <c r="B222" s="19" t="str">
        <f t="shared" si="10"/>
        <v>enero</v>
      </c>
      <c r="C222" s="19" t="str">
        <f t="shared" si="12"/>
        <v>2026</v>
      </c>
      <c r="D222" s="25" t="s">
        <v>206</v>
      </c>
      <c r="E222" s="25" t="s">
        <v>18</v>
      </c>
      <c r="F222" s="25" t="s">
        <v>183</v>
      </c>
      <c r="G222" s="24">
        <v>400</v>
      </c>
      <c r="H222" s="19" t="str">
        <f>IF(LEN(G222)=0,"",VLOOKUP(G222,Issues!A:D,2,FALSE))</f>
        <v>(400) Portales / Web-App</v>
      </c>
      <c r="I222" s="20" t="str">
        <f>IF(LEN(G222)=0,"",VLOOKUP(G222,Issues!A:D,3,FALSE))</f>
        <v>Portal evaluado con éxito.</v>
      </c>
      <c r="J222" s="19" t="str">
        <f>IF(LEN(G222)=0,"",VLOOKUP(G222,Issues!A:D,4,FALSE))</f>
        <v>Prueba OK</v>
      </c>
      <c r="K222" s="21" t="str">
        <f t="shared" si="11"/>
        <v>OK</v>
      </c>
    </row>
    <row r="223" spans="1:11" x14ac:dyDescent="0.35">
      <c r="A223" s="23">
        <v>46136</v>
      </c>
      <c r="B223" s="19" t="str">
        <f t="shared" si="10"/>
        <v>abril</v>
      </c>
      <c r="C223" s="19" t="str">
        <f t="shared" si="12"/>
        <v>2026</v>
      </c>
      <c r="D223" s="25" t="s">
        <v>206</v>
      </c>
      <c r="E223" s="25" t="s">
        <v>18</v>
      </c>
      <c r="F223" s="25" t="s">
        <v>183</v>
      </c>
      <c r="G223" s="24">
        <v>504</v>
      </c>
      <c r="H223" s="19" t="str">
        <f>IF(LEN(G223)=0,"",VLOOKUP(G223,Issues!A:D,2,FALSE))</f>
        <v>(500) Baja / Cancelacion</v>
      </c>
      <c r="I223" s="20" t="str">
        <f>IF(LEN(G223)=0,"",VLOOKUP(G223,Issues!A:D,3,FALSE))</f>
        <v>No funciona la baja desde la lp.</v>
      </c>
      <c r="J223" s="19" t="str">
        <f>IF(LEN(G223)=0,"",VLOOKUP(G223,Issues!A:D,4,FALSE))</f>
        <v>Critico</v>
      </c>
      <c r="K223" s="21" t="str">
        <f t="shared" si="11"/>
        <v>Issue</v>
      </c>
    </row>
    <row r="224" spans="1:11" x14ac:dyDescent="0.35">
      <c r="A224" s="23">
        <v>46141</v>
      </c>
      <c r="B224" s="19" t="str">
        <f t="shared" si="10"/>
        <v>abril</v>
      </c>
      <c r="C224" s="19" t="str">
        <f t="shared" si="12"/>
        <v>2026</v>
      </c>
      <c r="D224" s="25" t="s">
        <v>208</v>
      </c>
      <c r="E224" s="25" t="s">
        <v>22</v>
      </c>
      <c r="F224" s="25" t="s">
        <v>158</v>
      </c>
      <c r="G224" s="24">
        <v>200</v>
      </c>
      <c r="H224" s="19" t="str">
        <f>IF(LEN(G224)=0,"",VLOOKUP(G224,Issues!A:D,2,FALSE))</f>
        <v>(200) Contenidos</v>
      </c>
      <c r="I224" s="20" t="str">
        <f>IF(LEN(G224)=0,"",VLOOKUP(G224,Issues!A:D,3,FALSE))</f>
        <v>Contenidos recibido con éxito.</v>
      </c>
      <c r="J224" s="19" t="str">
        <f>IF(LEN(G224)=0,"",VLOOKUP(G224,Issues!A:D,4,FALSE))</f>
        <v>Prueba OK</v>
      </c>
      <c r="K224" s="21" t="str">
        <f t="shared" si="11"/>
        <v>OK</v>
      </c>
    </row>
    <row r="225" spans="1:11" x14ac:dyDescent="0.35">
      <c r="A225" s="23">
        <v>46065</v>
      </c>
      <c r="B225" s="19" t="str">
        <f t="shared" si="10"/>
        <v>febrero</v>
      </c>
      <c r="C225" s="19" t="str">
        <f t="shared" si="12"/>
        <v>2026</v>
      </c>
      <c r="D225" s="25" t="s">
        <v>206</v>
      </c>
      <c r="E225" s="25" t="s">
        <v>24</v>
      </c>
      <c r="F225" s="25" t="s">
        <v>151</v>
      </c>
      <c r="G225" s="24">
        <v>400</v>
      </c>
      <c r="H225" s="19" t="str">
        <f>IF(LEN(G225)=0,"",VLOOKUP(G225,Issues!A:D,2,FALSE))</f>
        <v>(400) Portales / Web-App</v>
      </c>
      <c r="I225" s="20" t="str">
        <f>IF(LEN(G225)=0,"",VLOOKUP(G225,Issues!A:D,3,FALSE))</f>
        <v>Portal evaluado con éxito.</v>
      </c>
      <c r="J225" s="19" t="str">
        <f>IF(LEN(G225)=0,"",VLOOKUP(G225,Issues!A:D,4,FALSE))</f>
        <v>Prueba OK</v>
      </c>
      <c r="K225" s="21" t="str">
        <f t="shared" si="11"/>
        <v>OK</v>
      </c>
    </row>
    <row r="226" spans="1:11" x14ac:dyDescent="0.35">
      <c r="A226" s="23">
        <v>46139</v>
      </c>
      <c r="B226" s="19" t="str">
        <f t="shared" si="10"/>
        <v>abril</v>
      </c>
      <c r="C226" s="19" t="str">
        <f t="shared" si="12"/>
        <v>2026</v>
      </c>
      <c r="D226" s="25" t="s">
        <v>206</v>
      </c>
      <c r="E226" s="25" t="s">
        <v>23</v>
      </c>
      <c r="F226" s="25" t="s">
        <v>194</v>
      </c>
      <c r="G226" s="24">
        <v>506</v>
      </c>
      <c r="H226" s="19" t="str">
        <f>IF(LEN(G226)=0,"",VLOOKUP(G226,Issues!A:D,2,FALSE))</f>
        <v>(500) Baja / Cancelacion</v>
      </c>
      <c r="I226" s="20" t="str">
        <f>IF(LEN(G226)=0,"",VLOOKUP(G226,Issues!A:D,3,FALSE))</f>
        <v>No funciona la baja desde ivr.</v>
      </c>
      <c r="J226" s="19" t="str">
        <f>IF(LEN(G226)=0,"",VLOOKUP(G226,Issues!A:D,4,FALSE))</f>
        <v>Critico</v>
      </c>
      <c r="K226" s="21" t="str">
        <f t="shared" si="11"/>
        <v>Issue</v>
      </c>
    </row>
    <row r="227" spans="1:11" x14ac:dyDescent="0.35">
      <c r="A227" s="23">
        <v>46033</v>
      </c>
      <c r="B227" s="19" t="str">
        <f t="shared" si="10"/>
        <v>enero</v>
      </c>
      <c r="C227" s="19" t="str">
        <f t="shared" si="12"/>
        <v>2026</v>
      </c>
      <c r="D227" s="25" t="s">
        <v>207</v>
      </c>
      <c r="E227" s="25" t="s">
        <v>27</v>
      </c>
      <c r="F227" s="25" t="s">
        <v>200</v>
      </c>
      <c r="G227" s="24">
        <v>107</v>
      </c>
      <c r="H227" s="19" t="str">
        <f>IF(LEN(G227)=0,"",VLOOKUP(G227,Issues!A:D,2,FALSE))</f>
        <v>(100)  Alta</v>
      </c>
      <c r="I227" s="20" t="str">
        <f>IF(LEN(G227)=0,"",VLOOKUP(G227,Issues!A:D,3,FALSE))</f>
        <v>Falla en lp de suscripción wap - header enrichment.</v>
      </c>
      <c r="J227" s="19" t="str">
        <f>IF(LEN(G227)=0,"",VLOOKUP(G227,Issues!A:D,4,FALSE))</f>
        <v>Critico</v>
      </c>
      <c r="K227" s="21" t="str">
        <f t="shared" si="11"/>
        <v>Issue</v>
      </c>
    </row>
    <row r="228" spans="1:11" x14ac:dyDescent="0.35">
      <c r="A228" s="23">
        <v>46073</v>
      </c>
      <c r="B228" s="19" t="str">
        <f t="shared" si="10"/>
        <v>febrero</v>
      </c>
      <c r="C228" s="19" t="str">
        <f t="shared" si="12"/>
        <v>2026</v>
      </c>
      <c r="D228" s="25" t="s">
        <v>208</v>
      </c>
      <c r="E228" s="25" t="s">
        <v>20</v>
      </c>
      <c r="F228" s="25" t="s">
        <v>188</v>
      </c>
      <c r="G228" s="24">
        <v>407</v>
      </c>
      <c r="H228" s="19" t="str">
        <f>IF(LEN(G228)=0,"",VLOOKUP(G228,Issues!A:D,2,FALSE))</f>
        <v>(400) Portales / Web-App</v>
      </c>
      <c r="I228" s="20" t="str">
        <f>IF(LEN(G228)=0,"",VLOOKUP(G228,Issues!A:D,3,FALSE))</f>
        <v>No funciona la interaccion.</v>
      </c>
      <c r="J228" s="19" t="str">
        <f>IF(LEN(G228)=0,"",VLOOKUP(G228,Issues!A:D,4,FALSE))</f>
        <v>Critico</v>
      </c>
      <c r="K228" s="21" t="str">
        <f t="shared" si="11"/>
        <v>Issue</v>
      </c>
    </row>
    <row r="229" spans="1:11" x14ac:dyDescent="0.35">
      <c r="A229" s="23">
        <v>46126</v>
      </c>
      <c r="B229" s="19" t="str">
        <f t="shared" si="10"/>
        <v>abril</v>
      </c>
      <c r="C229" s="19" t="str">
        <f t="shared" si="12"/>
        <v>2026</v>
      </c>
      <c r="D229" s="25" t="s">
        <v>206</v>
      </c>
      <c r="E229" s="25" t="s">
        <v>17</v>
      </c>
      <c r="F229" s="25" t="s">
        <v>181</v>
      </c>
      <c r="G229" s="24">
        <v>204</v>
      </c>
      <c r="H229" s="19" t="str">
        <f>IF(LEN(G229)=0,"",VLOOKUP(G229,Issues!A:D,2,FALSE))</f>
        <v>(200) Contenidos</v>
      </c>
      <c r="I229" s="20" t="str">
        <f>IF(LEN(G229)=0,"",VLOOKUP(G229,Issues!A:D,3,FALSE))</f>
        <v>Error/inconsistencia en t&amp;c en sms.</v>
      </c>
      <c r="J229" s="19" t="str">
        <f>IF(LEN(G229)=0,"",VLOOKUP(G229,Issues!A:D,4,FALSE))</f>
        <v>Critico</v>
      </c>
      <c r="K229" s="21" t="str">
        <f t="shared" si="11"/>
        <v>Issue</v>
      </c>
    </row>
    <row r="230" spans="1:11" x14ac:dyDescent="0.35">
      <c r="A230" s="23">
        <v>46139</v>
      </c>
      <c r="B230" s="19" t="str">
        <f t="shared" si="10"/>
        <v>abril</v>
      </c>
      <c r="C230" s="19" t="str">
        <f t="shared" si="12"/>
        <v>2026</v>
      </c>
      <c r="D230" s="25" t="s">
        <v>207</v>
      </c>
      <c r="E230" s="25" t="s">
        <v>18</v>
      </c>
      <c r="F230" s="25" t="s">
        <v>183</v>
      </c>
      <c r="G230" s="24">
        <v>206</v>
      </c>
      <c r="H230" s="19" t="str">
        <f>IF(LEN(G230)=0,"",VLOOKUP(G230,Issues!A:D,2,FALSE))</f>
        <v>(200) Contenidos</v>
      </c>
      <c r="I230" s="20" t="str">
        <f>IF(LEN(G230)=0,"",VLOOKUP(G230,Issues!A:D,3,FALSE))</f>
        <v>Llego doble contenido.</v>
      </c>
      <c r="J230" s="19" t="str">
        <f>IF(LEN(G230)=0,"",VLOOKUP(G230,Issues!A:D,4,FALSE))</f>
        <v>Medio</v>
      </c>
      <c r="K230" s="21" t="str">
        <f t="shared" si="11"/>
        <v>Issue</v>
      </c>
    </row>
    <row r="231" spans="1:11" x14ac:dyDescent="0.35">
      <c r="A231" s="23">
        <v>46150</v>
      </c>
      <c r="B231" s="19" t="str">
        <f t="shared" si="10"/>
        <v>mayo</v>
      </c>
      <c r="C231" s="19" t="str">
        <f t="shared" si="12"/>
        <v>2026</v>
      </c>
      <c r="D231" s="25" t="s">
        <v>207</v>
      </c>
      <c r="E231" s="25" t="s">
        <v>27</v>
      </c>
      <c r="F231" s="25" t="s">
        <v>202</v>
      </c>
      <c r="G231" s="24">
        <v>100</v>
      </c>
      <c r="H231" s="19" t="str">
        <f>IF(LEN(G231)=0,"",VLOOKUP(G231,Issues!A:D,2,FALSE))</f>
        <v>(100)  Alta</v>
      </c>
      <c r="I231" s="20" t="str">
        <f>IF(LEN(G231)=0,"",VLOOKUP(G231,Issues!A:D,3,FALSE))</f>
        <v>Alta con éxito.</v>
      </c>
      <c r="J231" s="19" t="str">
        <f>IF(LEN(G231)=0,"",VLOOKUP(G231,Issues!A:D,4,FALSE))</f>
        <v>Prueba OK</v>
      </c>
      <c r="K231" s="21" t="str">
        <f t="shared" si="11"/>
        <v>OK</v>
      </c>
    </row>
    <row r="232" spans="1:11" x14ac:dyDescent="0.35">
      <c r="A232" s="23">
        <v>46140</v>
      </c>
      <c r="B232" s="19" t="str">
        <f t="shared" si="10"/>
        <v>abril</v>
      </c>
      <c r="C232" s="19" t="str">
        <f t="shared" si="12"/>
        <v>2026</v>
      </c>
      <c r="D232" s="25" t="s">
        <v>206</v>
      </c>
      <c r="E232" s="25" t="s">
        <v>21</v>
      </c>
      <c r="F232" s="25" t="s">
        <v>193</v>
      </c>
      <c r="G232" s="24">
        <v>102</v>
      </c>
      <c r="H232" s="19" t="str">
        <f>IF(LEN(G232)=0,"",VLOOKUP(G232,Issues!A:D,2,FALSE))</f>
        <v>(100)  Alta</v>
      </c>
      <c r="I232" s="20" t="str">
        <f>IF(LEN(G232)=0,"",VLOOKUP(G232,Issues!A:D,3,FALSE))</f>
        <v>Falla en doble optin en sms.</v>
      </c>
      <c r="J232" s="19" t="str">
        <f>IF(LEN(G232)=0,"",VLOOKUP(G232,Issues!A:D,4,FALSE))</f>
        <v>Critico</v>
      </c>
      <c r="K232" s="21" t="str">
        <f t="shared" si="11"/>
        <v>Issue</v>
      </c>
    </row>
    <row r="233" spans="1:11" x14ac:dyDescent="0.35">
      <c r="A233" s="23">
        <v>46049</v>
      </c>
      <c r="B233" s="19" t="str">
        <f t="shared" si="10"/>
        <v>enero</v>
      </c>
      <c r="C233" s="19" t="str">
        <f t="shared" si="12"/>
        <v>2026</v>
      </c>
      <c r="D233" s="25" t="s">
        <v>207</v>
      </c>
      <c r="E233" s="25" t="s">
        <v>23</v>
      </c>
      <c r="F233" s="25" t="s">
        <v>196</v>
      </c>
      <c r="G233" s="24">
        <v>100</v>
      </c>
      <c r="H233" s="19" t="str">
        <f>IF(LEN(G233)=0,"",VLOOKUP(G233,Issues!A:D,2,FALSE))</f>
        <v>(100)  Alta</v>
      </c>
      <c r="I233" s="20" t="str">
        <f>IF(LEN(G233)=0,"",VLOOKUP(G233,Issues!A:D,3,FALSE))</f>
        <v>Alta con éxito.</v>
      </c>
      <c r="J233" s="19" t="str">
        <f>IF(LEN(G233)=0,"",VLOOKUP(G233,Issues!A:D,4,FALSE))</f>
        <v>Prueba OK</v>
      </c>
      <c r="K233" s="21" t="str">
        <f t="shared" si="11"/>
        <v>OK</v>
      </c>
    </row>
    <row r="234" spans="1:11" x14ac:dyDescent="0.35">
      <c r="A234" s="23">
        <v>46128</v>
      </c>
      <c r="B234" s="19" t="str">
        <f t="shared" si="10"/>
        <v>abril</v>
      </c>
      <c r="C234" s="19" t="str">
        <f t="shared" si="12"/>
        <v>2026</v>
      </c>
      <c r="D234" s="25" t="s">
        <v>206</v>
      </c>
      <c r="E234" s="25" t="s">
        <v>24</v>
      </c>
      <c r="F234" s="25" t="s">
        <v>159</v>
      </c>
      <c r="G234" s="24">
        <v>300</v>
      </c>
      <c r="H234" s="19" t="str">
        <f>IF(LEN(G234)=0,"",VLOOKUP(G234,Issues!A:D,2,FALSE))</f>
        <v>(300) Cobros</v>
      </c>
      <c r="I234" s="20" t="str">
        <f>IF(LEN(G234)=0,"",VLOOKUP(G234,Issues!A:D,3,FALSE))</f>
        <v>Cobro en valor y forma correcto.</v>
      </c>
      <c r="J234" s="19" t="str">
        <f>IF(LEN(G234)=0,"",VLOOKUP(G234,Issues!A:D,4,FALSE))</f>
        <v>Prueba OK</v>
      </c>
      <c r="K234" s="21" t="str">
        <f t="shared" si="11"/>
        <v>OK</v>
      </c>
    </row>
    <row r="235" spans="1:11" x14ac:dyDescent="0.35">
      <c r="A235" s="23">
        <v>46067</v>
      </c>
      <c r="B235" s="19" t="str">
        <f t="shared" si="10"/>
        <v>febrero</v>
      </c>
      <c r="C235" s="19" t="str">
        <f t="shared" si="12"/>
        <v>2026</v>
      </c>
      <c r="D235" s="25" t="s">
        <v>208</v>
      </c>
      <c r="E235" s="25" t="s">
        <v>26</v>
      </c>
      <c r="F235" s="25" t="s">
        <v>152</v>
      </c>
      <c r="G235" s="24">
        <v>500</v>
      </c>
      <c r="H235" s="19" t="str">
        <f>IF(LEN(G235)=0,"",VLOOKUP(G235,Issues!A:D,2,FALSE))</f>
        <v>(500) Baja / Cancelacion</v>
      </c>
      <c r="I235" s="20" t="str">
        <f>IF(LEN(G235)=0,"",VLOOKUP(G235,Issues!A:D,3,FALSE))</f>
        <v>Baja con éxito.</v>
      </c>
      <c r="J235" s="19" t="str">
        <f>IF(LEN(G235)=0,"",VLOOKUP(G235,Issues!A:D,4,FALSE))</f>
        <v>Prueba OK</v>
      </c>
      <c r="K235" s="21" t="str">
        <f t="shared" si="11"/>
        <v>OK</v>
      </c>
    </row>
    <row r="236" spans="1:11" x14ac:dyDescent="0.35">
      <c r="A236" s="23">
        <v>46141</v>
      </c>
      <c r="B236" s="19" t="str">
        <f t="shared" si="10"/>
        <v>abril</v>
      </c>
      <c r="C236" s="19" t="str">
        <f t="shared" si="12"/>
        <v>2026</v>
      </c>
      <c r="D236" s="25" t="s">
        <v>208</v>
      </c>
      <c r="E236" s="25" t="s">
        <v>17</v>
      </c>
      <c r="F236" s="25" t="s">
        <v>179</v>
      </c>
      <c r="G236" s="24">
        <v>408</v>
      </c>
      <c r="H236" s="19" t="str">
        <f>IF(LEN(G236)=0,"",VLOOKUP(G236,Issues!A:D,2,FALSE))</f>
        <v>(400) Portales / Web-App</v>
      </c>
      <c r="I236" s="20" t="str">
        <f>IF(LEN(G236)=0,"",VLOOKUP(G236,Issues!A:D,3,FALSE))</f>
        <v>Inconsistencias en los t&amp;c del portal / web-app.</v>
      </c>
      <c r="J236" s="19" t="str">
        <f>IF(LEN(G236)=0,"",VLOOKUP(G236,Issues!A:D,4,FALSE))</f>
        <v>Critico</v>
      </c>
      <c r="K236" s="21" t="str">
        <f t="shared" si="11"/>
        <v>Issue</v>
      </c>
    </row>
    <row r="237" spans="1:11" x14ac:dyDescent="0.35">
      <c r="A237" s="23">
        <v>46107</v>
      </c>
      <c r="B237" s="19" t="str">
        <f t="shared" si="10"/>
        <v>marzo</v>
      </c>
      <c r="C237" s="19" t="str">
        <f t="shared" si="12"/>
        <v>2026</v>
      </c>
      <c r="D237" s="25" t="s">
        <v>207</v>
      </c>
      <c r="E237" s="25" t="s">
        <v>11</v>
      </c>
      <c r="F237" s="25" t="s">
        <v>166</v>
      </c>
      <c r="G237" s="24">
        <v>700</v>
      </c>
      <c r="H237" s="19" t="str">
        <f>IF(LEN(G237)=0,"",VLOOKUP(G237,Issues!A:D,2,FALSE))</f>
        <v>(700) Interaccion MO/MT (On Demand)</v>
      </c>
      <c r="I237" s="20" t="str">
        <f>IF(LEN(G237)=0,"",VLOOKUP(G237,Issues!A:D,3,FALSE))</f>
        <v>Flujo MO/MT con éxito.</v>
      </c>
      <c r="J237" s="19" t="str">
        <f>IF(LEN(G237)=0,"",VLOOKUP(G237,Issues!A:D,4,FALSE))</f>
        <v>Prueba OK</v>
      </c>
      <c r="K237" s="21" t="str">
        <f t="shared" si="11"/>
        <v>OK</v>
      </c>
    </row>
    <row r="238" spans="1:11" x14ac:dyDescent="0.35">
      <c r="A238" s="23">
        <v>46038</v>
      </c>
      <c r="B238" s="19" t="str">
        <f t="shared" si="10"/>
        <v>enero</v>
      </c>
      <c r="C238" s="19" t="str">
        <f t="shared" si="12"/>
        <v>2026</v>
      </c>
      <c r="D238" s="25" t="s">
        <v>206</v>
      </c>
      <c r="E238" s="25" t="s">
        <v>25</v>
      </c>
      <c r="F238" s="25" t="s">
        <v>197</v>
      </c>
      <c r="G238" s="24">
        <v>504</v>
      </c>
      <c r="H238" s="19" t="str">
        <f>IF(LEN(G238)=0,"",VLOOKUP(G238,Issues!A:D,2,FALSE))</f>
        <v>(500) Baja / Cancelacion</v>
      </c>
      <c r="I238" s="20" t="str">
        <f>IF(LEN(G238)=0,"",VLOOKUP(G238,Issues!A:D,3,FALSE))</f>
        <v>No funciona la baja desde la lp.</v>
      </c>
      <c r="J238" s="19" t="str">
        <f>IF(LEN(G238)=0,"",VLOOKUP(G238,Issues!A:D,4,FALSE))</f>
        <v>Critico</v>
      </c>
      <c r="K238" s="21" t="str">
        <f t="shared" si="11"/>
        <v>Issue</v>
      </c>
    </row>
    <row r="239" spans="1:11" x14ac:dyDescent="0.35">
      <c r="A239" s="23">
        <v>46135</v>
      </c>
      <c r="B239" s="19" t="str">
        <f t="shared" si="10"/>
        <v>abril</v>
      </c>
      <c r="C239" s="19" t="str">
        <f t="shared" si="12"/>
        <v>2026</v>
      </c>
      <c r="D239" s="25" t="s">
        <v>207</v>
      </c>
      <c r="E239" s="25" t="s">
        <v>10</v>
      </c>
      <c r="F239" s="25" t="s">
        <v>163</v>
      </c>
      <c r="G239" s="24">
        <v>209</v>
      </c>
      <c r="H239" s="19" t="str">
        <f>IF(LEN(G239)=0,"",VLOOKUP(G239,Issues!A:D,2,FALSE))</f>
        <v>(200) Contenidos</v>
      </c>
      <c r="I239" s="20" t="str">
        <f>IF(LEN(G239)=0,"",VLOOKUP(G239,Issues!A:D,3,FALSE))</f>
        <v>Contenido desactualizado.</v>
      </c>
      <c r="J239" s="19" t="str">
        <f>IF(LEN(G239)=0,"",VLOOKUP(G239,Issues!A:D,4,FALSE))</f>
        <v>Medio</v>
      </c>
      <c r="K239" s="21" t="str">
        <f t="shared" si="11"/>
        <v>Issue</v>
      </c>
    </row>
    <row r="240" spans="1:11" x14ac:dyDescent="0.35">
      <c r="A240" s="23">
        <v>46121</v>
      </c>
      <c r="B240" s="19" t="str">
        <f t="shared" si="10"/>
        <v>abril</v>
      </c>
      <c r="C240" s="19" t="str">
        <f t="shared" si="12"/>
        <v>2026</v>
      </c>
      <c r="D240" s="25" t="s">
        <v>207</v>
      </c>
      <c r="E240" s="25" t="s">
        <v>20</v>
      </c>
      <c r="F240" s="25" t="s">
        <v>189</v>
      </c>
      <c r="G240" s="24">
        <v>504</v>
      </c>
      <c r="H240" s="19" t="str">
        <f>IF(LEN(G240)=0,"",VLOOKUP(G240,Issues!A:D,2,FALSE))</f>
        <v>(500) Baja / Cancelacion</v>
      </c>
      <c r="I240" s="20" t="str">
        <f>IF(LEN(G240)=0,"",VLOOKUP(G240,Issues!A:D,3,FALSE))</f>
        <v>No funciona la baja desde la lp.</v>
      </c>
      <c r="J240" s="19" t="str">
        <f>IF(LEN(G240)=0,"",VLOOKUP(G240,Issues!A:D,4,FALSE))</f>
        <v>Critico</v>
      </c>
      <c r="K240" s="21" t="str">
        <f t="shared" si="11"/>
        <v>Issue</v>
      </c>
    </row>
    <row r="241" spans="1:11" x14ac:dyDescent="0.35">
      <c r="A241" s="23">
        <v>46068</v>
      </c>
      <c r="B241" s="19" t="str">
        <f t="shared" si="10"/>
        <v>febrero</v>
      </c>
      <c r="C241" s="19" t="str">
        <f t="shared" si="12"/>
        <v>2026</v>
      </c>
      <c r="D241" s="25" t="s">
        <v>207</v>
      </c>
      <c r="E241" s="25" t="s">
        <v>26</v>
      </c>
      <c r="F241" s="25" t="s">
        <v>156</v>
      </c>
      <c r="G241" s="24">
        <v>500</v>
      </c>
      <c r="H241" s="19" t="str">
        <f>IF(LEN(G241)=0,"",VLOOKUP(G241,Issues!A:D,2,FALSE))</f>
        <v>(500) Baja / Cancelacion</v>
      </c>
      <c r="I241" s="20" t="str">
        <f>IF(LEN(G241)=0,"",VLOOKUP(G241,Issues!A:D,3,FALSE))</f>
        <v>Baja con éxito.</v>
      </c>
      <c r="J241" s="19" t="str">
        <f>IF(LEN(G241)=0,"",VLOOKUP(G241,Issues!A:D,4,FALSE))</f>
        <v>Prueba OK</v>
      </c>
      <c r="K241" s="21" t="str">
        <f t="shared" si="11"/>
        <v>OK</v>
      </c>
    </row>
    <row r="242" spans="1:11" x14ac:dyDescent="0.35">
      <c r="A242" s="23">
        <v>46103</v>
      </c>
      <c r="B242" s="19" t="str">
        <f t="shared" si="10"/>
        <v>marzo</v>
      </c>
      <c r="C242" s="19" t="str">
        <f t="shared" si="12"/>
        <v>2026</v>
      </c>
      <c r="D242" s="25" t="s">
        <v>207</v>
      </c>
      <c r="E242" s="25" t="s">
        <v>26</v>
      </c>
      <c r="F242" s="25" t="s">
        <v>152</v>
      </c>
      <c r="G242" s="24">
        <v>202</v>
      </c>
      <c r="H242" s="19" t="str">
        <f>IF(LEN(G242)=0,"",VLOOKUP(G242,Issues!A:D,2,FALSE))</f>
        <v>(200) Contenidos</v>
      </c>
      <c r="I242" s="20" t="str">
        <f>IF(LEN(G242)=0,"",VLOOKUP(G242,Issues!A:D,3,FALSE))</f>
        <v>Inconsistencias en textos/fraseologia sms.</v>
      </c>
      <c r="J242" s="19" t="str">
        <f>IF(LEN(G242)=0,"",VLOOKUP(G242,Issues!A:D,4,FALSE))</f>
        <v>Medio</v>
      </c>
      <c r="K242" s="21" t="str">
        <f t="shared" si="11"/>
        <v>Issue</v>
      </c>
    </row>
    <row r="243" spans="1:11" x14ac:dyDescent="0.35">
      <c r="A243" s="23">
        <v>46085</v>
      </c>
      <c r="B243" s="19" t="str">
        <f t="shared" si="10"/>
        <v>marzo</v>
      </c>
      <c r="C243" s="19" t="str">
        <f t="shared" si="12"/>
        <v>2026</v>
      </c>
      <c r="D243" s="25" t="s">
        <v>207</v>
      </c>
      <c r="E243" s="25" t="s">
        <v>17</v>
      </c>
      <c r="F243" s="25" t="s">
        <v>180</v>
      </c>
      <c r="G243" s="24">
        <v>700</v>
      </c>
      <c r="H243" s="19" t="str">
        <f>IF(LEN(G243)=0,"",VLOOKUP(G243,Issues!A:D,2,FALSE))</f>
        <v>(700) Interaccion MO/MT (On Demand)</v>
      </c>
      <c r="I243" s="20" t="str">
        <f>IF(LEN(G243)=0,"",VLOOKUP(G243,Issues!A:D,3,FALSE))</f>
        <v>Flujo MO/MT con éxito.</v>
      </c>
      <c r="J243" s="19" t="str">
        <f>IF(LEN(G243)=0,"",VLOOKUP(G243,Issues!A:D,4,FALSE))</f>
        <v>Prueba OK</v>
      </c>
      <c r="K243" s="21" t="str">
        <f t="shared" si="11"/>
        <v>OK</v>
      </c>
    </row>
    <row r="244" spans="1:11" x14ac:dyDescent="0.35">
      <c r="A244" s="23">
        <v>46093</v>
      </c>
      <c r="B244" s="19" t="str">
        <f t="shared" si="10"/>
        <v>marzo</v>
      </c>
      <c r="C244" s="19" t="str">
        <f t="shared" si="12"/>
        <v>2026</v>
      </c>
      <c r="D244" s="25" t="s">
        <v>206</v>
      </c>
      <c r="E244" s="25" t="s">
        <v>11</v>
      </c>
      <c r="F244" s="25" t="s">
        <v>165</v>
      </c>
      <c r="G244" s="24">
        <v>700</v>
      </c>
      <c r="H244" s="19" t="str">
        <f>IF(LEN(G244)=0,"",VLOOKUP(G244,Issues!A:D,2,FALSE))</f>
        <v>(700) Interaccion MO/MT (On Demand)</v>
      </c>
      <c r="I244" s="20" t="str">
        <f>IF(LEN(G244)=0,"",VLOOKUP(G244,Issues!A:D,3,FALSE))</f>
        <v>Flujo MO/MT con éxito.</v>
      </c>
      <c r="J244" s="19" t="str">
        <f>IF(LEN(G244)=0,"",VLOOKUP(G244,Issues!A:D,4,FALSE))</f>
        <v>Prueba OK</v>
      </c>
      <c r="K244" s="21" t="str">
        <f t="shared" si="11"/>
        <v>OK</v>
      </c>
    </row>
    <row r="245" spans="1:11" x14ac:dyDescent="0.35">
      <c r="A245" s="23">
        <v>46098</v>
      </c>
      <c r="B245" s="19" t="str">
        <f t="shared" si="10"/>
        <v>marzo</v>
      </c>
      <c r="C245" s="19" t="str">
        <f t="shared" si="12"/>
        <v>2026</v>
      </c>
      <c r="D245" s="25" t="s">
        <v>206</v>
      </c>
      <c r="E245" s="25" t="s">
        <v>22</v>
      </c>
      <c r="F245" s="25" t="s">
        <v>154</v>
      </c>
      <c r="G245" s="24">
        <v>700</v>
      </c>
      <c r="H245" s="19" t="str">
        <f>IF(LEN(G245)=0,"",VLOOKUP(G245,Issues!A:D,2,FALSE))</f>
        <v>(700) Interaccion MO/MT (On Demand)</v>
      </c>
      <c r="I245" s="20" t="str">
        <f>IF(LEN(G245)=0,"",VLOOKUP(G245,Issues!A:D,3,FALSE))</f>
        <v>Flujo MO/MT con éxito.</v>
      </c>
      <c r="J245" s="19" t="str">
        <f>IF(LEN(G245)=0,"",VLOOKUP(G245,Issues!A:D,4,FALSE))</f>
        <v>Prueba OK</v>
      </c>
      <c r="K245" s="21" t="str">
        <f t="shared" si="11"/>
        <v>OK</v>
      </c>
    </row>
    <row r="246" spans="1:11" x14ac:dyDescent="0.35">
      <c r="A246" s="23">
        <v>46100</v>
      </c>
      <c r="B246" s="19" t="str">
        <f t="shared" si="10"/>
        <v>marzo</v>
      </c>
      <c r="C246" s="19" t="str">
        <f t="shared" si="12"/>
        <v>2026</v>
      </c>
      <c r="D246" s="25" t="s">
        <v>207</v>
      </c>
      <c r="E246" s="25" t="s">
        <v>15</v>
      </c>
      <c r="F246" s="25" t="s">
        <v>173</v>
      </c>
      <c r="G246" s="24">
        <v>200</v>
      </c>
      <c r="H246" s="19" t="str">
        <f>IF(LEN(G246)=0,"",VLOOKUP(G246,Issues!A:D,2,FALSE))</f>
        <v>(200) Contenidos</v>
      </c>
      <c r="I246" s="20" t="str">
        <f>IF(LEN(G246)=0,"",VLOOKUP(G246,Issues!A:D,3,FALSE))</f>
        <v>Contenidos recibido con éxito.</v>
      </c>
      <c r="J246" s="19" t="str">
        <f>IF(LEN(G246)=0,"",VLOOKUP(G246,Issues!A:D,4,FALSE))</f>
        <v>Prueba OK</v>
      </c>
      <c r="K246" s="21" t="str">
        <f t="shared" si="11"/>
        <v>OK</v>
      </c>
    </row>
    <row r="247" spans="1:11" x14ac:dyDescent="0.35">
      <c r="A247" s="23">
        <v>46064</v>
      </c>
      <c r="B247" s="19" t="str">
        <f t="shared" si="10"/>
        <v>febrero</v>
      </c>
      <c r="C247" s="19" t="str">
        <f t="shared" si="12"/>
        <v>2026</v>
      </c>
      <c r="D247" s="25" t="s">
        <v>206</v>
      </c>
      <c r="E247" s="25" t="s">
        <v>17</v>
      </c>
      <c r="F247" s="25" t="s">
        <v>179</v>
      </c>
      <c r="G247" s="24">
        <v>101</v>
      </c>
      <c r="H247" s="19" t="str">
        <f>IF(LEN(G247)=0,"",VLOOKUP(G247,Issues!A:D,2,FALSE))</f>
        <v>(100)  Alta</v>
      </c>
      <c r="I247" s="20" t="str">
        <f>IF(LEN(G247)=0,"",VLOOKUP(G247,Issues!A:D,3,FALSE))</f>
        <v>No se genero el alta - no hay respuesta al kw.</v>
      </c>
      <c r="J247" s="19" t="str">
        <f>IF(LEN(G247)=0,"",VLOOKUP(G247,Issues!A:D,4,FALSE))</f>
        <v>Critico</v>
      </c>
      <c r="K247" s="21" t="str">
        <f t="shared" si="11"/>
        <v>Issue</v>
      </c>
    </row>
    <row r="248" spans="1:11" x14ac:dyDescent="0.35">
      <c r="A248" s="23">
        <v>46146</v>
      </c>
      <c r="B248" s="19" t="str">
        <f t="shared" si="10"/>
        <v>mayo</v>
      </c>
      <c r="C248" s="19" t="str">
        <f t="shared" si="12"/>
        <v>2026</v>
      </c>
      <c r="D248" s="25" t="s">
        <v>208</v>
      </c>
      <c r="E248" s="25" t="s">
        <v>22</v>
      </c>
      <c r="F248" s="25" t="s">
        <v>158</v>
      </c>
      <c r="G248" s="24">
        <v>700</v>
      </c>
      <c r="H248" s="19" t="str">
        <f>IF(LEN(G248)=0,"",VLOOKUP(G248,Issues!A:D,2,FALSE))</f>
        <v>(700) Interaccion MO/MT (On Demand)</v>
      </c>
      <c r="I248" s="20" t="str">
        <f>IF(LEN(G248)=0,"",VLOOKUP(G248,Issues!A:D,3,FALSE))</f>
        <v>Flujo MO/MT con éxito.</v>
      </c>
      <c r="J248" s="19" t="str">
        <f>IF(LEN(G248)=0,"",VLOOKUP(G248,Issues!A:D,4,FALSE))</f>
        <v>Prueba OK</v>
      </c>
      <c r="K248" s="21" t="str">
        <f t="shared" si="11"/>
        <v>OK</v>
      </c>
    </row>
    <row r="249" spans="1:11" x14ac:dyDescent="0.35">
      <c r="A249" s="23">
        <v>46122</v>
      </c>
      <c r="B249" s="19" t="str">
        <f t="shared" si="10"/>
        <v>abril</v>
      </c>
      <c r="C249" s="19" t="str">
        <f t="shared" si="12"/>
        <v>2026</v>
      </c>
      <c r="D249" s="25" t="s">
        <v>207</v>
      </c>
      <c r="E249" s="25" t="s">
        <v>19</v>
      </c>
      <c r="F249" s="25" t="s">
        <v>186</v>
      </c>
      <c r="G249" s="24">
        <v>500</v>
      </c>
      <c r="H249" s="19" t="str">
        <f>IF(LEN(G249)=0,"",VLOOKUP(G249,Issues!A:D,2,FALSE))</f>
        <v>(500) Baja / Cancelacion</v>
      </c>
      <c r="I249" s="20" t="str">
        <f>IF(LEN(G249)=0,"",VLOOKUP(G249,Issues!A:D,3,FALSE))</f>
        <v>Baja con éxito.</v>
      </c>
      <c r="J249" s="19" t="str">
        <f>IF(LEN(G249)=0,"",VLOOKUP(G249,Issues!A:D,4,FALSE))</f>
        <v>Prueba OK</v>
      </c>
      <c r="K249" s="21" t="str">
        <f t="shared" si="11"/>
        <v>OK</v>
      </c>
    </row>
    <row r="250" spans="1:11" x14ac:dyDescent="0.35">
      <c r="A250" s="23">
        <v>46137</v>
      </c>
      <c r="B250" s="19" t="str">
        <f t="shared" si="10"/>
        <v>abril</v>
      </c>
      <c r="C250" s="19" t="str">
        <f t="shared" si="12"/>
        <v>2026</v>
      </c>
      <c r="D250" s="25" t="s">
        <v>206</v>
      </c>
      <c r="E250" s="25" t="s">
        <v>14</v>
      </c>
      <c r="F250" s="25" t="s">
        <v>172</v>
      </c>
      <c r="G250" s="24">
        <v>300</v>
      </c>
      <c r="H250" s="19" t="str">
        <f>IF(LEN(G250)=0,"",VLOOKUP(G250,Issues!A:D,2,FALSE))</f>
        <v>(300) Cobros</v>
      </c>
      <c r="I250" s="20" t="str">
        <f>IF(LEN(G250)=0,"",VLOOKUP(G250,Issues!A:D,3,FALSE))</f>
        <v>Cobro en valor y forma correcto.</v>
      </c>
      <c r="J250" s="19" t="str">
        <f>IF(LEN(G250)=0,"",VLOOKUP(G250,Issues!A:D,4,FALSE))</f>
        <v>Prueba OK</v>
      </c>
      <c r="K250" s="21" t="str">
        <f t="shared" si="11"/>
        <v>OK</v>
      </c>
    </row>
    <row r="251" spans="1:11" x14ac:dyDescent="0.35">
      <c r="A251" s="23">
        <v>46138</v>
      </c>
      <c r="B251" s="19" t="str">
        <f t="shared" si="10"/>
        <v>abril</v>
      </c>
      <c r="C251" s="19" t="str">
        <f t="shared" si="12"/>
        <v>2026</v>
      </c>
      <c r="D251" s="25" t="s">
        <v>206</v>
      </c>
      <c r="E251" s="25" t="s">
        <v>23</v>
      </c>
      <c r="F251" s="25" t="s">
        <v>195</v>
      </c>
      <c r="G251" s="24">
        <v>408</v>
      </c>
      <c r="H251" s="19" t="str">
        <f>IF(LEN(G251)=0,"",VLOOKUP(G251,Issues!A:D,2,FALSE))</f>
        <v>(400) Portales / Web-App</v>
      </c>
      <c r="I251" s="20" t="str">
        <f>IF(LEN(G251)=0,"",VLOOKUP(G251,Issues!A:D,3,FALSE))</f>
        <v>Inconsistencias en los t&amp;c del portal / web-app.</v>
      </c>
      <c r="J251" s="19" t="str">
        <f>IF(LEN(G251)=0,"",VLOOKUP(G251,Issues!A:D,4,FALSE))</f>
        <v>Critico</v>
      </c>
      <c r="K251" s="21" t="str">
        <f t="shared" si="11"/>
        <v>Issue</v>
      </c>
    </row>
    <row r="252" spans="1:11" x14ac:dyDescent="0.35">
      <c r="A252" s="23">
        <v>46068</v>
      </c>
      <c r="B252" s="19" t="str">
        <f t="shared" si="10"/>
        <v>febrero</v>
      </c>
      <c r="C252" s="19" t="str">
        <f t="shared" si="12"/>
        <v>2026</v>
      </c>
      <c r="D252" s="25" t="s">
        <v>206</v>
      </c>
      <c r="E252" s="25" t="s">
        <v>17</v>
      </c>
      <c r="F252" s="25" t="s">
        <v>179</v>
      </c>
      <c r="G252" s="24">
        <v>202</v>
      </c>
      <c r="H252" s="19" t="str">
        <f>IF(LEN(G252)=0,"",VLOOKUP(G252,Issues!A:D,2,FALSE))</f>
        <v>(200) Contenidos</v>
      </c>
      <c r="I252" s="20" t="str">
        <f>IF(LEN(G252)=0,"",VLOOKUP(G252,Issues!A:D,3,FALSE))</f>
        <v>Inconsistencias en textos/fraseologia sms.</v>
      </c>
      <c r="J252" s="19" t="str">
        <f>IF(LEN(G252)=0,"",VLOOKUP(G252,Issues!A:D,4,FALSE))</f>
        <v>Medio</v>
      </c>
      <c r="K252" s="21" t="str">
        <f t="shared" si="11"/>
        <v>Issue</v>
      </c>
    </row>
    <row r="253" spans="1:11" x14ac:dyDescent="0.35">
      <c r="A253" s="23">
        <v>46024</v>
      </c>
      <c r="B253" s="19" t="str">
        <f t="shared" si="10"/>
        <v>enero</v>
      </c>
      <c r="C253" s="19" t="str">
        <f t="shared" si="12"/>
        <v>2026</v>
      </c>
      <c r="D253" s="25" t="s">
        <v>208</v>
      </c>
      <c r="E253" s="25" t="s">
        <v>12</v>
      </c>
      <c r="F253" s="25" t="s">
        <v>168</v>
      </c>
      <c r="G253" s="24">
        <v>505</v>
      </c>
      <c r="H253" s="19" t="str">
        <f>IF(LEN(G253)=0,"",VLOOKUP(G253,Issues!A:D,2,FALSE))</f>
        <v>(500) Baja / Cancelacion</v>
      </c>
      <c r="I253" s="20" t="str">
        <f>IF(LEN(G253)=0,"",VLOOKUP(G253,Issues!A:D,3,FALSE))</f>
        <v>No funciona la baja desde tienda.</v>
      </c>
      <c r="J253" s="19" t="str">
        <f>IF(LEN(G253)=0,"",VLOOKUP(G253,Issues!A:D,4,FALSE))</f>
        <v>Critico</v>
      </c>
      <c r="K253" s="21" t="str">
        <f t="shared" si="11"/>
        <v>Issue</v>
      </c>
    </row>
    <row r="254" spans="1:11" x14ac:dyDescent="0.35">
      <c r="A254" s="23">
        <v>46056</v>
      </c>
      <c r="B254" s="19" t="str">
        <f t="shared" si="10"/>
        <v>febrero</v>
      </c>
      <c r="C254" s="19" t="str">
        <f t="shared" si="12"/>
        <v>2026</v>
      </c>
      <c r="D254" s="25" t="s">
        <v>207</v>
      </c>
      <c r="E254" s="25" t="s">
        <v>15</v>
      </c>
      <c r="F254" s="25" t="s">
        <v>174</v>
      </c>
      <c r="G254" s="24">
        <v>202</v>
      </c>
      <c r="H254" s="19" t="str">
        <f>IF(LEN(G254)=0,"",VLOOKUP(G254,Issues!A:D,2,FALSE))</f>
        <v>(200) Contenidos</v>
      </c>
      <c r="I254" s="20" t="str">
        <f>IF(LEN(G254)=0,"",VLOOKUP(G254,Issues!A:D,3,FALSE))</f>
        <v>Inconsistencias en textos/fraseologia sms.</v>
      </c>
      <c r="J254" s="19" t="str">
        <f>IF(LEN(G254)=0,"",VLOOKUP(G254,Issues!A:D,4,FALSE))</f>
        <v>Medio</v>
      </c>
      <c r="K254" s="21" t="str">
        <f t="shared" si="11"/>
        <v>Issue</v>
      </c>
    </row>
    <row r="255" spans="1:11" x14ac:dyDescent="0.35">
      <c r="A255" s="23">
        <v>46116</v>
      </c>
      <c r="B255" s="19" t="str">
        <f t="shared" si="10"/>
        <v>abril</v>
      </c>
      <c r="C255" s="19" t="str">
        <f t="shared" si="12"/>
        <v>2026</v>
      </c>
      <c r="D255" s="25" t="s">
        <v>206</v>
      </c>
      <c r="E255" s="25" t="s">
        <v>19</v>
      </c>
      <c r="F255" s="25" t="s">
        <v>186</v>
      </c>
      <c r="G255" s="24">
        <v>500</v>
      </c>
      <c r="H255" s="19" t="str">
        <f>IF(LEN(G255)=0,"",VLOOKUP(G255,Issues!A:D,2,FALSE))</f>
        <v>(500) Baja / Cancelacion</v>
      </c>
      <c r="I255" s="20" t="str">
        <f>IF(LEN(G255)=0,"",VLOOKUP(G255,Issues!A:D,3,FALSE))</f>
        <v>Baja con éxito.</v>
      </c>
      <c r="J255" s="19" t="str">
        <f>IF(LEN(G255)=0,"",VLOOKUP(G255,Issues!A:D,4,FALSE))</f>
        <v>Prueba OK</v>
      </c>
      <c r="K255" s="21" t="str">
        <f t="shared" si="11"/>
        <v>OK</v>
      </c>
    </row>
    <row r="256" spans="1:11" x14ac:dyDescent="0.35">
      <c r="A256" s="23">
        <v>46148</v>
      </c>
      <c r="B256" s="19" t="str">
        <f t="shared" si="10"/>
        <v>mayo</v>
      </c>
      <c r="C256" s="19" t="str">
        <f t="shared" si="12"/>
        <v>2026</v>
      </c>
      <c r="D256" s="25" t="s">
        <v>208</v>
      </c>
      <c r="E256" s="25" t="s">
        <v>17</v>
      </c>
      <c r="F256" s="25" t="s">
        <v>181</v>
      </c>
      <c r="G256" s="24">
        <v>200</v>
      </c>
      <c r="H256" s="19" t="str">
        <f>IF(LEN(G256)=0,"",VLOOKUP(G256,Issues!A:D,2,FALSE))</f>
        <v>(200) Contenidos</v>
      </c>
      <c r="I256" s="20" t="str">
        <f>IF(LEN(G256)=0,"",VLOOKUP(G256,Issues!A:D,3,FALSE))</f>
        <v>Contenidos recibido con éxito.</v>
      </c>
      <c r="J256" s="19" t="str">
        <f>IF(LEN(G256)=0,"",VLOOKUP(G256,Issues!A:D,4,FALSE))</f>
        <v>Prueba OK</v>
      </c>
      <c r="K256" s="21" t="str">
        <f t="shared" si="11"/>
        <v>OK</v>
      </c>
    </row>
    <row r="257" spans="1:11" x14ac:dyDescent="0.35">
      <c r="A257" s="23">
        <v>46109</v>
      </c>
      <c r="B257" s="19" t="str">
        <f t="shared" si="10"/>
        <v>marzo</v>
      </c>
      <c r="C257" s="19" t="str">
        <f t="shared" si="12"/>
        <v>2026</v>
      </c>
      <c r="D257" s="25" t="s">
        <v>206</v>
      </c>
      <c r="E257" s="25" t="s">
        <v>25</v>
      </c>
      <c r="F257" s="25" t="s">
        <v>198</v>
      </c>
      <c r="G257" s="24">
        <v>100</v>
      </c>
      <c r="H257" s="19" t="str">
        <f>IF(LEN(G257)=0,"",VLOOKUP(G257,Issues!A:D,2,FALSE))</f>
        <v>(100)  Alta</v>
      </c>
      <c r="I257" s="20" t="str">
        <f>IF(LEN(G257)=0,"",VLOOKUP(G257,Issues!A:D,3,FALSE))</f>
        <v>Alta con éxito.</v>
      </c>
      <c r="J257" s="19" t="str">
        <f>IF(LEN(G257)=0,"",VLOOKUP(G257,Issues!A:D,4,FALSE))</f>
        <v>Prueba OK</v>
      </c>
      <c r="K257" s="21" t="str">
        <f t="shared" si="11"/>
        <v>OK</v>
      </c>
    </row>
    <row r="258" spans="1:11" x14ac:dyDescent="0.35">
      <c r="A258" s="23">
        <v>46048</v>
      </c>
      <c r="B258" s="19" t="str">
        <f t="shared" si="10"/>
        <v>enero</v>
      </c>
      <c r="C258" s="19" t="str">
        <f t="shared" si="12"/>
        <v>2026</v>
      </c>
      <c r="D258" s="25" t="s">
        <v>206</v>
      </c>
      <c r="E258" s="25" t="s">
        <v>23</v>
      </c>
      <c r="F258" s="25" t="s">
        <v>196</v>
      </c>
      <c r="G258" s="24">
        <v>800</v>
      </c>
      <c r="H258" s="19" t="str">
        <f>IF(LEN(G258)=0,"",VLOOKUP(G258,Issues!A:D,2,FALSE))</f>
        <v>(800) Politicas especiales operadores</v>
      </c>
      <c r="I258" s="20" t="str">
        <f>IF(LEN(G258)=0,"",VLOOKUP(G258,Issues!A:D,3,FALSE))</f>
        <v>Politicas de los operadores cumplidas.</v>
      </c>
      <c r="J258" s="19" t="str">
        <f>IF(LEN(G258)=0,"",VLOOKUP(G258,Issues!A:D,4,FALSE))</f>
        <v>Prueba OK</v>
      </c>
      <c r="K258" s="21" t="str">
        <f t="shared" si="11"/>
        <v>OK</v>
      </c>
    </row>
    <row r="259" spans="1:11" x14ac:dyDescent="0.35">
      <c r="A259" s="23">
        <v>46049</v>
      </c>
      <c r="B259" s="19" t="str">
        <f t="shared" ref="B259:B322" si="13">IF(LEN(A259)=0,"",TEXT(A259,"mmmm"))</f>
        <v>enero</v>
      </c>
      <c r="C259" s="19" t="str">
        <f t="shared" si="12"/>
        <v>2026</v>
      </c>
      <c r="D259" s="25" t="s">
        <v>206</v>
      </c>
      <c r="E259" s="25" t="s">
        <v>12</v>
      </c>
      <c r="F259" s="25" t="s">
        <v>169</v>
      </c>
      <c r="G259" s="24">
        <v>304</v>
      </c>
      <c r="H259" s="19" t="str">
        <f>IF(LEN(G259)=0,"",VLOOKUP(G259,Issues!A:D,2,FALSE))</f>
        <v>(300) Cobros</v>
      </c>
      <c r="I259" s="20" t="str">
        <f>IF(LEN(G259)=0,"",VLOOKUP(G259,Issues!A:D,3,FALSE))</f>
        <v>Cobro valor diferente al autorizado.</v>
      </c>
      <c r="J259" s="19" t="str">
        <f>IF(LEN(G259)=0,"",VLOOKUP(G259,Issues!A:D,4,FALSE))</f>
        <v>Critico</v>
      </c>
      <c r="K259" s="21" t="str">
        <f t="shared" ref="K259:K322" si="14">IF(LEN(G259)=0,"",IF(OR(J259="critico",J259="Medio",J259="Bajo"),"Issue",IF(J259="Prueba OK","OK","")))</f>
        <v>Issue</v>
      </c>
    </row>
    <row r="260" spans="1:11" x14ac:dyDescent="0.35">
      <c r="A260" s="23">
        <v>46151</v>
      </c>
      <c r="B260" s="19" t="str">
        <f t="shared" si="13"/>
        <v>mayo</v>
      </c>
      <c r="C260" s="19" t="str">
        <f t="shared" si="12"/>
        <v>2026</v>
      </c>
      <c r="D260" s="25" t="s">
        <v>206</v>
      </c>
      <c r="E260" s="25" t="s">
        <v>22</v>
      </c>
      <c r="F260" s="25" t="s">
        <v>150</v>
      </c>
      <c r="G260" s="24">
        <v>100</v>
      </c>
      <c r="H260" s="19" t="str">
        <f>IF(LEN(G260)=0,"",VLOOKUP(G260,Issues!A:D,2,FALSE))</f>
        <v>(100)  Alta</v>
      </c>
      <c r="I260" s="20" t="str">
        <f>IF(LEN(G260)=0,"",VLOOKUP(G260,Issues!A:D,3,FALSE))</f>
        <v>Alta con éxito.</v>
      </c>
      <c r="J260" s="19" t="str">
        <f>IF(LEN(G260)=0,"",VLOOKUP(G260,Issues!A:D,4,FALSE))</f>
        <v>Prueba OK</v>
      </c>
      <c r="K260" s="21" t="str">
        <f t="shared" si="14"/>
        <v>OK</v>
      </c>
    </row>
    <row r="261" spans="1:11" x14ac:dyDescent="0.35">
      <c r="A261" s="23">
        <v>46131</v>
      </c>
      <c r="B261" s="19" t="str">
        <f t="shared" si="13"/>
        <v>abril</v>
      </c>
      <c r="C261" s="19" t="str">
        <f t="shared" si="12"/>
        <v>2026</v>
      </c>
      <c r="D261" s="25" t="s">
        <v>207</v>
      </c>
      <c r="E261" s="25" t="s">
        <v>17</v>
      </c>
      <c r="F261" s="25" t="s">
        <v>181</v>
      </c>
      <c r="G261" s="24">
        <v>800</v>
      </c>
      <c r="H261" s="19" t="str">
        <f>IF(LEN(G261)=0,"",VLOOKUP(G261,Issues!A:D,2,FALSE))</f>
        <v>(800) Politicas especiales operadores</v>
      </c>
      <c r="I261" s="20" t="str">
        <f>IF(LEN(G261)=0,"",VLOOKUP(G261,Issues!A:D,3,FALSE))</f>
        <v>Politicas de los operadores cumplidas.</v>
      </c>
      <c r="J261" s="19" t="str">
        <f>IF(LEN(G261)=0,"",VLOOKUP(G261,Issues!A:D,4,FALSE))</f>
        <v>Prueba OK</v>
      </c>
      <c r="K261" s="21" t="str">
        <f t="shared" si="14"/>
        <v>OK</v>
      </c>
    </row>
    <row r="262" spans="1:11" x14ac:dyDescent="0.35">
      <c r="A262" s="23">
        <v>46138</v>
      </c>
      <c r="B262" s="19" t="str">
        <f t="shared" si="13"/>
        <v>abril</v>
      </c>
      <c r="C262" s="19" t="str">
        <f t="shared" si="12"/>
        <v>2026</v>
      </c>
      <c r="D262" s="25" t="s">
        <v>209</v>
      </c>
      <c r="E262" s="25" t="s">
        <v>11</v>
      </c>
      <c r="F262" s="25" t="s">
        <v>165</v>
      </c>
      <c r="G262" s="24">
        <v>100</v>
      </c>
      <c r="H262" s="19" t="str">
        <f>IF(LEN(G262)=0,"",VLOOKUP(G262,Issues!A:D,2,FALSE))</f>
        <v>(100)  Alta</v>
      </c>
      <c r="I262" s="20" t="str">
        <f>IF(LEN(G262)=0,"",VLOOKUP(G262,Issues!A:D,3,FALSE))</f>
        <v>Alta con éxito.</v>
      </c>
      <c r="J262" s="19" t="str">
        <f>IF(LEN(G262)=0,"",VLOOKUP(G262,Issues!A:D,4,FALSE))</f>
        <v>Prueba OK</v>
      </c>
      <c r="K262" s="21" t="str">
        <f t="shared" si="14"/>
        <v>OK</v>
      </c>
    </row>
    <row r="263" spans="1:11" x14ac:dyDescent="0.35">
      <c r="A263" s="23">
        <v>46067</v>
      </c>
      <c r="B263" s="19" t="str">
        <f t="shared" si="13"/>
        <v>febrero</v>
      </c>
      <c r="C263" s="19" t="str">
        <f t="shared" si="12"/>
        <v>2026</v>
      </c>
      <c r="D263" s="25" t="s">
        <v>206</v>
      </c>
      <c r="E263" s="25" t="s">
        <v>19</v>
      </c>
      <c r="F263" s="25" t="s">
        <v>187</v>
      </c>
      <c r="G263" s="24">
        <v>112</v>
      </c>
      <c r="H263" s="19" t="str">
        <f>IF(LEN(G263)=0,"",VLOOKUP(G263,Issues!A:D,2,FALSE))</f>
        <v>(100)  Alta</v>
      </c>
      <c r="I263" s="20" t="str">
        <f>IF(LEN(G263)=0,"",VLOOKUP(G263,Issues!A:D,3,FALSE))</f>
        <v>Falla en alta a traves de tienda.</v>
      </c>
      <c r="J263" s="19" t="str">
        <f>IF(LEN(G263)=0,"",VLOOKUP(G263,Issues!A:D,4,FALSE))</f>
        <v>Critico</v>
      </c>
      <c r="K263" s="21" t="str">
        <f t="shared" si="14"/>
        <v>Issue</v>
      </c>
    </row>
    <row r="264" spans="1:11" x14ac:dyDescent="0.35">
      <c r="A264" s="23">
        <v>46157</v>
      </c>
      <c r="B264" s="19" t="str">
        <f t="shared" si="13"/>
        <v>mayo</v>
      </c>
      <c r="C264" s="19" t="str">
        <f t="shared" si="12"/>
        <v>2026</v>
      </c>
      <c r="D264" s="25" t="s">
        <v>207</v>
      </c>
      <c r="E264" s="25" t="s">
        <v>23</v>
      </c>
      <c r="F264" s="25" t="s">
        <v>196</v>
      </c>
      <c r="G264" s="24">
        <v>800</v>
      </c>
      <c r="H264" s="19" t="str">
        <f>IF(LEN(G264)=0,"",VLOOKUP(G264,Issues!A:D,2,FALSE))</f>
        <v>(800) Politicas especiales operadores</v>
      </c>
      <c r="I264" s="20" t="str">
        <f>IF(LEN(G264)=0,"",VLOOKUP(G264,Issues!A:D,3,FALSE))</f>
        <v>Politicas de los operadores cumplidas.</v>
      </c>
      <c r="J264" s="19" t="str">
        <f>IF(LEN(G264)=0,"",VLOOKUP(G264,Issues!A:D,4,FALSE))</f>
        <v>Prueba OK</v>
      </c>
      <c r="K264" s="21" t="str">
        <f t="shared" si="14"/>
        <v>OK</v>
      </c>
    </row>
    <row r="265" spans="1:11" x14ac:dyDescent="0.35">
      <c r="A265" s="23">
        <v>46090</v>
      </c>
      <c r="B265" s="19" t="str">
        <f t="shared" si="13"/>
        <v>marzo</v>
      </c>
      <c r="C265" s="19" t="str">
        <f t="shared" si="12"/>
        <v>2026</v>
      </c>
      <c r="D265" s="25" t="s">
        <v>206</v>
      </c>
      <c r="E265" s="25" t="s">
        <v>26</v>
      </c>
      <c r="F265" s="25" t="s">
        <v>160</v>
      </c>
      <c r="G265" s="24">
        <v>304</v>
      </c>
      <c r="H265" s="19" t="str">
        <f>IF(LEN(G265)=0,"",VLOOKUP(G265,Issues!A:D,2,FALSE))</f>
        <v>(300) Cobros</v>
      </c>
      <c r="I265" s="20" t="str">
        <f>IF(LEN(G265)=0,"",VLOOKUP(G265,Issues!A:D,3,FALSE))</f>
        <v>Cobro valor diferente al autorizado.</v>
      </c>
      <c r="J265" s="19" t="str">
        <f>IF(LEN(G265)=0,"",VLOOKUP(G265,Issues!A:D,4,FALSE))</f>
        <v>Critico</v>
      </c>
      <c r="K265" s="21" t="str">
        <f t="shared" si="14"/>
        <v>Issue</v>
      </c>
    </row>
    <row r="266" spans="1:11" x14ac:dyDescent="0.35">
      <c r="A266" s="23">
        <v>46148</v>
      </c>
      <c r="B266" s="19" t="str">
        <f t="shared" si="13"/>
        <v>mayo</v>
      </c>
      <c r="C266" s="19" t="str">
        <f t="shared" si="12"/>
        <v>2026</v>
      </c>
      <c r="D266" s="25" t="s">
        <v>207</v>
      </c>
      <c r="E266" s="25" t="s">
        <v>18</v>
      </c>
      <c r="F266" s="25" t="s">
        <v>183</v>
      </c>
      <c r="G266" s="24">
        <v>409</v>
      </c>
      <c r="H266" s="19" t="str">
        <f>IF(LEN(G266)=0,"",VLOOKUP(G266,Issues!A:D,2,FALSE))</f>
        <v>(400) Portales / Web-App</v>
      </c>
      <c r="I266" s="20" t="str">
        <f>IF(LEN(G266)=0,"",VLOOKUP(G266,Issues!A:D,3,FALSE))</f>
        <v>409 no cumple con caracteristicas de diseño responsive.</v>
      </c>
      <c r="J266" s="19" t="str">
        <f>IF(LEN(G266)=0,"",VLOOKUP(G266,Issues!A:D,4,FALSE))</f>
        <v>Critico</v>
      </c>
      <c r="K266" s="21" t="str">
        <f t="shared" si="14"/>
        <v>Issue</v>
      </c>
    </row>
    <row r="267" spans="1:11" x14ac:dyDescent="0.35">
      <c r="A267" s="23">
        <v>46094</v>
      </c>
      <c r="B267" s="19" t="str">
        <f t="shared" si="13"/>
        <v>marzo</v>
      </c>
      <c r="C267" s="19" t="str">
        <f t="shared" si="12"/>
        <v>2026</v>
      </c>
      <c r="D267" s="25" t="s">
        <v>207</v>
      </c>
      <c r="E267" s="25" t="s">
        <v>21</v>
      </c>
      <c r="F267" s="25" t="s">
        <v>191</v>
      </c>
      <c r="G267" s="24">
        <v>114</v>
      </c>
      <c r="H267" s="19" t="str">
        <f>IF(LEN(G267)=0,"",VLOOKUP(G267,Issues!A:D,2,FALSE))</f>
        <v>(100)  Alta</v>
      </c>
      <c r="I267" s="20" t="str">
        <f>IF(LEN(G267)=0,"",VLOOKUP(G267,Issues!A:D,3,FALSE))</f>
        <v>Falla en doble optin en sim.</v>
      </c>
      <c r="J267" s="19" t="str">
        <f>IF(LEN(G267)=0,"",VLOOKUP(G267,Issues!A:D,4,FALSE))</f>
        <v>Critico</v>
      </c>
      <c r="K267" s="21" t="str">
        <f t="shared" si="14"/>
        <v>Issue</v>
      </c>
    </row>
    <row r="268" spans="1:11" x14ac:dyDescent="0.35">
      <c r="A268" s="23">
        <v>46105</v>
      </c>
      <c r="B268" s="19" t="str">
        <f t="shared" si="13"/>
        <v>marzo</v>
      </c>
      <c r="C268" s="19" t="str">
        <f t="shared" si="12"/>
        <v>2026</v>
      </c>
      <c r="D268" s="25" t="s">
        <v>208</v>
      </c>
      <c r="E268" s="25" t="s">
        <v>15</v>
      </c>
      <c r="F268" s="25" t="s">
        <v>173</v>
      </c>
      <c r="G268" s="24">
        <v>104</v>
      </c>
      <c r="H268" s="19" t="str">
        <f>IF(LEN(G268)=0,"",VLOOKUP(G268,Issues!A:D,2,FALSE))</f>
        <v>(100)  Alta</v>
      </c>
      <c r="I268" s="20" t="str">
        <f>IF(LEN(G268)=0,"",VLOOKUP(G268,Issues!A:D,3,FALSE))</f>
        <v>No llega pin code.</v>
      </c>
      <c r="J268" s="19" t="str">
        <f>IF(LEN(G268)=0,"",VLOOKUP(G268,Issues!A:D,4,FALSE))</f>
        <v>Medio</v>
      </c>
      <c r="K268" s="21" t="str">
        <f t="shared" si="14"/>
        <v>Issue</v>
      </c>
    </row>
    <row r="269" spans="1:11" x14ac:dyDescent="0.35">
      <c r="A269" s="23">
        <v>46063</v>
      </c>
      <c r="B269" s="19" t="str">
        <f t="shared" si="13"/>
        <v>febrero</v>
      </c>
      <c r="C269" s="19" t="str">
        <f t="shared" si="12"/>
        <v>2026</v>
      </c>
      <c r="D269" s="25" t="s">
        <v>208</v>
      </c>
      <c r="E269" s="25" t="s">
        <v>15</v>
      </c>
      <c r="F269" s="25" t="s">
        <v>175</v>
      </c>
      <c r="G269" s="24">
        <v>400</v>
      </c>
      <c r="H269" s="19" t="str">
        <f>IF(LEN(G269)=0,"",VLOOKUP(G269,Issues!A:D,2,FALSE))</f>
        <v>(400) Portales / Web-App</v>
      </c>
      <c r="I269" s="20" t="str">
        <f>IF(LEN(G269)=0,"",VLOOKUP(G269,Issues!A:D,3,FALSE))</f>
        <v>Portal evaluado con éxito.</v>
      </c>
      <c r="J269" s="19" t="str">
        <f>IF(LEN(G269)=0,"",VLOOKUP(G269,Issues!A:D,4,FALSE))</f>
        <v>Prueba OK</v>
      </c>
      <c r="K269" s="21" t="str">
        <f t="shared" si="14"/>
        <v>OK</v>
      </c>
    </row>
    <row r="270" spans="1:11" x14ac:dyDescent="0.35">
      <c r="A270" s="23">
        <v>46141</v>
      </c>
      <c r="B270" s="19" t="str">
        <f t="shared" si="13"/>
        <v>abril</v>
      </c>
      <c r="C270" s="19" t="str">
        <f t="shared" si="12"/>
        <v>2026</v>
      </c>
      <c r="D270" s="25" t="s">
        <v>206</v>
      </c>
      <c r="E270" s="25" t="s">
        <v>21</v>
      </c>
      <c r="F270" s="25" t="s">
        <v>192</v>
      </c>
      <c r="G270" s="24">
        <v>405</v>
      </c>
      <c r="H270" s="19" t="str">
        <f>IF(LEN(G270)=0,"",VLOOKUP(G270,Issues!A:D,2,FALSE))</f>
        <v>(400) Portales / Web-App</v>
      </c>
      <c r="I270" s="20" t="str">
        <f>IF(LEN(G270)=0,"",VLOOKUP(G270,Issues!A:D,3,FALSE))</f>
        <v>Problemas de estructura o textos del portal o web-app.</v>
      </c>
      <c r="J270" s="19" t="str">
        <f>IF(LEN(G270)=0,"",VLOOKUP(G270,Issues!A:D,4,FALSE))</f>
        <v>Medio</v>
      </c>
      <c r="K270" s="21" t="str">
        <f t="shared" si="14"/>
        <v>Issue</v>
      </c>
    </row>
    <row r="271" spans="1:11" x14ac:dyDescent="0.35">
      <c r="A271" s="23">
        <v>46057</v>
      </c>
      <c r="B271" s="19" t="str">
        <f t="shared" si="13"/>
        <v>febrero</v>
      </c>
      <c r="C271" s="19" t="str">
        <f t="shared" si="12"/>
        <v>2026</v>
      </c>
      <c r="D271" s="25" t="s">
        <v>206</v>
      </c>
      <c r="E271" s="25" t="s">
        <v>10</v>
      </c>
      <c r="F271" s="25" t="s">
        <v>161</v>
      </c>
      <c r="G271" s="24">
        <v>200</v>
      </c>
      <c r="H271" s="19" t="str">
        <f>IF(LEN(G271)=0,"",VLOOKUP(G271,Issues!A:D,2,FALSE))</f>
        <v>(200) Contenidos</v>
      </c>
      <c r="I271" s="20" t="str">
        <f>IF(LEN(G271)=0,"",VLOOKUP(G271,Issues!A:D,3,FALSE))</f>
        <v>Contenidos recibido con éxito.</v>
      </c>
      <c r="J271" s="19" t="str">
        <f>IF(LEN(G271)=0,"",VLOOKUP(G271,Issues!A:D,4,FALSE))</f>
        <v>Prueba OK</v>
      </c>
      <c r="K271" s="21" t="str">
        <f t="shared" si="14"/>
        <v>OK</v>
      </c>
    </row>
    <row r="272" spans="1:11" x14ac:dyDescent="0.35">
      <c r="A272" s="23">
        <v>46106</v>
      </c>
      <c r="B272" s="19" t="str">
        <f t="shared" si="13"/>
        <v>marzo</v>
      </c>
      <c r="C272" s="19" t="str">
        <f t="shared" si="12"/>
        <v>2026</v>
      </c>
      <c r="D272" s="25" t="s">
        <v>206</v>
      </c>
      <c r="E272" s="25" t="s">
        <v>20</v>
      </c>
      <c r="F272" s="25" t="s">
        <v>188</v>
      </c>
      <c r="G272" s="24">
        <v>700</v>
      </c>
      <c r="H272" s="19" t="str">
        <f>IF(LEN(G272)=0,"",VLOOKUP(G272,Issues!A:D,2,FALSE))</f>
        <v>(700) Interaccion MO/MT (On Demand)</v>
      </c>
      <c r="I272" s="20" t="str">
        <f>IF(LEN(G272)=0,"",VLOOKUP(G272,Issues!A:D,3,FALSE))</f>
        <v>Flujo MO/MT con éxito.</v>
      </c>
      <c r="J272" s="19" t="str">
        <f>IF(LEN(G272)=0,"",VLOOKUP(G272,Issues!A:D,4,FALSE))</f>
        <v>Prueba OK</v>
      </c>
      <c r="K272" s="21" t="str">
        <f t="shared" si="14"/>
        <v>OK</v>
      </c>
    </row>
    <row r="273" spans="1:11" x14ac:dyDescent="0.35">
      <c r="A273" s="23">
        <v>46151</v>
      </c>
      <c r="B273" s="19" t="str">
        <f t="shared" si="13"/>
        <v>mayo</v>
      </c>
      <c r="C273" s="19" t="str">
        <f t="shared" si="12"/>
        <v>2026</v>
      </c>
      <c r="D273" s="25" t="s">
        <v>206</v>
      </c>
      <c r="E273" s="25" t="s">
        <v>23</v>
      </c>
      <c r="F273" s="25" t="s">
        <v>195</v>
      </c>
      <c r="G273" s="24">
        <v>100</v>
      </c>
      <c r="H273" s="19" t="str">
        <f>IF(LEN(G273)=0,"",VLOOKUP(G273,Issues!A:D,2,FALSE))</f>
        <v>(100)  Alta</v>
      </c>
      <c r="I273" s="20" t="str">
        <f>IF(LEN(G273)=0,"",VLOOKUP(G273,Issues!A:D,3,FALSE))</f>
        <v>Alta con éxito.</v>
      </c>
      <c r="J273" s="19" t="str">
        <f>IF(LEN(G273)=0,"",VLOOKUP(G273,Issues!A:D,4,FALSE))</f>
        <v>Prueba OK</v>
      </c>
      <c r="K273" s="21" t="str">
        <f t="shared" si="14"/>
        <v>OK</v>
      </c>
    </row>
    <row r="274" spans="1:11" x14ac:dyDescent="0.35">
      <c r="A274" s="23">
        <v>46136</v>
      </c>
      <c r="B274" s="19" t="str">
        <f t="shared" si="13"/>
        <v>abril</v>
      </c>
      <c r="C274" s="19" t="str">
        <f t="shared" si="12"/>
        <v>2026</v>
      </c>
      <c r="D274" s="25" t="s">
        <v>205</v>
      </c>
      <c r="E274" s="25" t="s">
        <v>27</v>
      </c>
      <c r="F274" s="25" t="s">
        <v>200</v>
      </c>
      <c r="G274" s="24">
        <v>700</v>
      </c>
      <c r="H274" s="19" t="str">
        <f>IF(LEN(G274)=0,"",VLOOKUP(G274,Issues!A:D,2,FALSE))</f>
        <v>(700) Interaccion MO/MT (On Demand)</v>
      </c>
      <c r="I274" s="20" t="str">
        <f>IF(LEN(G274)=0,"",VLOOKUP(G274,Issues!A:D,3,FALSE))</f>
        <v>Flujo MO/MT con éxito.</v>
      </c>
      <c r="J274" s="19" t="str">
        <f>IF(LEN(G274)=0,"",VLOOKUP(G274,Issues!A:D,4,FALSE))</f>
        <v>Prueba OK</v>
      </c>
      <c r="K274" s="21" t="str">
        <f t="shared" si="14"/>
        <v>OK</v>
      </c>
    </row>
    <row r="275" spans="1:11" x14ac:dyDescent="0.35">
      <c r="A275" s="23">
        <v>46116</v>
      </c>
      <c r="B275" s="19" t="str">
        <f t="shared" si="13"/>
        <v>abril</v>
      </c>
      <c r="C275" s="19" t="str">
        <f t="shared" ref="C275:C338" si="15">IF(LEN(A275)=0,"",TEXT(A275,"aaaa"))</f>
        <v>2026</v>
      </c>
      <c r="D275" s="25" t="s">
        <v>207</v>
      </c>
      <c r="E275" s="25" t="s">
        <v>12</v>
      </c>
      <c r="F275" s="25" t="s">
        <v>169</v>
      </c>
      <c r="G275" s="24">
        <v>506</v>
      </c>
      <c r="H275" s="19" t="str">
        <f>IF(LEN(G275)=0,"",VLOOKUP(G275,Issues!A:D,2,FALSE))</f>
        <v>(500) Baja / Cancelacion</v>
      </c>
      <c r="I275" s="20" t="str">
        <f>IF(LEN(G275)=0,"",VLOOKUP(G275,Issues!A:D,3,FALSE))</f>
        <v>No funciona la baja desde ivr.</v>
      </c>
      <c r="J275" s="19" t="str">
        <f>IF(LEN(G275)=0,"",VLOOKUP(G275,Issues!A:D,4,FALSE))</f>
        <v>Critico</v>
      </c>
      <c r="K275" s="21" t="str">
        <f t="shared" si="14"/>
        <v>Issue</v>
      </c>
    </row>
    <row r="276" spans="1:11" x14ac:dyDescent="0.35">
      <c r="A276" s="23">
        <v>46155</v>
      </c>
      <c r="B276" s="19" t="str">
        <f t="shared" si="13"/>
        <v>mayo</v>
      </c>
      <c r="C276" s="19" t="str">
        <f t="shared" si="15"/>
        <v>2026</v>
      </c>
      <c r="D276" s="25" t="s">
        <v>206</v>
      </c>
      <c r="E276" s="25" t="s">
        <v>21</v>
      </c>
      <c r="F276" s="25" t="s">
        <v>192</v>
      </c>
      <c r="G276" s="24">
        <v>700</v>
      </c>
      <c r="H276" s="19" t="str">
        <f>IF(LEN(G276)=0,"",VLOOKUP(G276,Issues!A:D,2,FALSE))</f>
        <v>(700) Interaccion MO/MT (On Demand)</v>
      </c>
      <c r="I276" s="20" t="str">
        <f>IF(LEN(G276)=0,"",VLOOKUP(G276,Issues!A:D,3,FALSE))</f>
        <v>Flujo MO/MT con éxito.</v>
      </c>
      <c r="J276" s="19" t="str">
        <f>IF(LEN(G276)=0,"",VLOOKUP(G276,Issues!A:D,4,FALSE))</f>
        <v>Prueba OK</v>
      </c>
      <c r="K276" s="21" t="str">
        <f t="shared" si="14"/>
        <v>OK</v>
      </c>
    </row>
    <row r="277" spans="1:11" x14ac:dyDescent="0.35">
      <c r="A277" s="23">
        <v>46068</v>
      </c>
      <c r="B277" s="19" t="str">
        <f t="shared" si="13"/>
        <v>febrero</v>
      </c>
      <c r="C277" s="19" t="str">
        <f t="shared" si="15"/>
        <v>2026</v>
      </c>
      <c r="D277" s="25" t="s">
        <v>207</v>
      </c>
      <c r="E277" s="25" t="s">
        <v>18</v>
      </c>
      <c r="F277" s="25" t="s">
        <v>182</v>
      </c>
      <c r="G277" s="24">
        <v>400</v>
      </c>
      <c r="H277" s="19" t="str">
        <f>IF(LEN(G277)=0,"",VLOOKUP(G277,Issues!A:D,2,FALSE))</f>
        <v>(400) Portales / Web-App</v>
      </c>
      <c r="I277" s="20" t="str">
        <f>IF(LEN(G277)=0,"",VLOOKUP(G277,Issues!A:D,3,FALSE))</f>
        <v>Portal evaluado con éxito.</v>
      </c>
      <c r="J277" s="19" t="str">
        <f>IF(LEN(G277)=0,"",VLOOKUP(G277,Issues!A:D,4,FALSE))</f>
        <v>Prueba OK</v>
      </c>
      <c r="K277" s="21" t="str">
        <f t="shared" si="14"/>
        <v>OK</v>
      </c>
    </row>
    <row r="278" spans="1:11" x14ac:dyDescent="0.35">
      <c r="A278" s="23">
        <v>46155</v>
      </c>
      <c r="B278" s="19" t="str">
        <f t="shared" si="13"/>
        <v>mayo</v>
      </c>
      <c r="C278" s="19" t="str">
        <f t="shared" si="15"/>
        <v>2026</v>
      </c>
      <c r="D278" s="25" t="s">
        <v>209</v>
      </c>
      <c r="E278" s="25" t="s">
        <v>14</v>
      </c>
      <c r="F278" s="25" t="s">
        <v>171</v>
      </c>
      <c r="G278" s="24">
        <v>204</v>
      </c>
      <c r="H278" s="19" t="str">
        <f>IF(LEN(G278)=0,"",VLOOKUP(G278,Issues!A:D,2,FALSE))</f>
        <v>(200) Contenidos</v>
      </c>
      <c r="I278" s="20" t="str">
        <f>IF(LEN(G278)=0,"",VLOOKUP(G278,Issues!A:D,3,FALSE))</f>
        <v>Error/inconsistencia en t&amp;c en sms.</v>
      </c>
      <c r="J278" s="19" t="str">
        <f>IF(LEN(G278)=0,"",VLOOKUP(G278,Issues!A:D,4,FALSE))</f>
        <v>Critico</v>
      </c>
      <c r="K278" s="21" t="str">
        <f t="shared" si="14"/>
        <v>Issue</v>
      </c>
    </row>
    <row r="279" spans="1:11" x14ac:dyDescent="0.35">
      <c r="A279" s="23">
        <v>46064</v>
      </c>
      <c r="B279" s="19" t="str">
        <f t="shared" si="13"/>
        <v>febrero</v>
      </c>
      <c r="C279" s="19" t="str">
        <f t="shared" si="15"/>
        <v>2026</v>
      </c>
      <c r="D279" s="25" t="s">
        <v>207</v>
      </c>
      <c r="E279" s="25" t="s">
        <v>16</v>
      </c>
      <c r="F279" s="25" t="s">
        <v>176</v>
      </c>
      <c r="G279" s="24">
        <v>100</v>
      </c>
      <c r="H279" s="19" t="str">
        <f>IF(LEN(G279)=0,"",VLOOKUP(G279,Issues!A:D,2,FALSE))</f>
        <v>(100)  Alta</v>
      </c>
      <c r="I279" s="20" t="str">
        <f>IF(LEN(G279)=0,"",VLOOKUP(G279,Issues!A:D,3,FALSE))</f>
        <v>Alta con éxito.</v>
      </c>
      <c r="J279" s="19" t="str">
        <f>IF(LEN(G279)=0,"",VLOOKUP(G279,Issues!A:D,4,FALSE))</f>
        <v>Prueba OK</v>
      </c>
      <c r="K279" s="21" t="str">
        <f t="shared" si="14"/>
        <v>OK</v>
      </c>
    </row>
    <row r="280" spans="1:11" x14ac:dyDescent="0.35">
      <c r="A280" s="23">
        <v>46086</v>
      </c>
      <c r="B280" s="19" t="str">
        <f t="shared" si="13"/>
        <v>marzo</v>
      </c>
      <c r="C280" s="19" t="str">
        <f t="shared" si="15"/>
        <v>2026</v>
      </c>
      <c r="D280" s="25" t="s">
        <v>209</v>
      </c>
      <c r="E280" s="25" t="s">
        <v>21</v>
      </c>
      <c r="F280" s="25" t="s">
        <v>192</v>
      </c>
      <c r="G280" s="24">
        <v>408</v>
      </c>
      <c r="H280" s="19" t="str">
        <f>IF(LEN(G280)=0,"",VLOOKUP(G280,Issues!A:D,2,FALSE))</f>
        <v>(400) Portales / Web-App</v>
      </c>
      <c r="I280" s="20" t="str">
        <f>IF(LEN(G280)=0,"",VLOOKUP(G280,Issues!A:D,3,FALSE))</f>
        <v>Inconsistencias en los t&amp;c del portal / web-app.</v>
      </c>
      <c r="J280" s="19" t="str">
        <f>IF(LEN(G280)=0,"",VLOOKUP(G280,Issues!A:D,4,FALSE))</f>
        <v>Critico</v>
      </c>
      <c r="K280" s="21" t="str">
        <f t="shared" si="14"/>
        <v>Issue</v>
      </c>
    </row>
    <row r="281" spans="1:11" x14ac:dyDescent="0.35">
      <c r="A281" s="23">
        <v>46087</v>
      </c>
      <c r="B281" s="19" t="str">
        <f t="shared" si="13"/>
        <v>marzo</v>
      </c>
      <c r="C281" s="19" t="str">
        <f t="shared" si="15"/>
        <v>2026</v>
      </c>
      <c r="D281" s="25" t="s">
        <v>207</v>
      </c>
      <c r="E281" s="25" t="s">
        <v>21</v>
      </c>
      <c r="F281" s="25" t="s">
        <v>191</v>
      </c>
      <c r="G281" s="24">
        <v>400</v>
      </c>
      <c r="H281" s="19" t="str">
        <f>IF(LEN(G281)=0,"",VLOOKUP(G281,Issues!A:D,2,FALSE))</f>
        <v>(400) Portales / Web-App</v>
      </c>
      <c r="I281" s="20" t="str">
        <f>IF(LEN(G281)=0,"",VLOOKUP(G281,Issues!A:D,3,FALSE))</f>
        <v>Portal evaluado con éxito.</v>
      </c>
      <c r="J281" s="19" t="str">
        <f>IF(LEN(G281)=0,"",VLOOKUP(G281,Issues!A:D,4,FALSE))</f>
        <v>Prueba OK</v>
      </c>
      <c r="K281" s="21" t="str">
        <f t="shared" si="14"/>
        <v>OK</v>
      </c>
    </row>
    <row r="282" spans="1:11" x14ac:dyDescent="0.35">
      <c r="A282" s="23">
        <v>46033</v>
      </c>
      <c r="B282" s="19" t="str">
        <f t="shared" si="13"/>
        <v>enero</v>
      </c>
      <c r="C282" s="19" t="str">
        <f t="shared" si="15"/>
        <v>2026</v>
      </c>
      <c r="D282" s="25" t="s">
        <v>206</v>
      </c>
      <c r="E282" s="25" t="s">
        <v>25</v>
      </c>
      <c r="F282" s="25" t="s">
        <v>197</v>
      </c>
      <c r="G282" s="24">
        <v>800</v>
      </c>
      <c r="H282" s="19" t="str">
        <f>IF(LEN(G282)=0,"",VLOOKUP(G282,Issues!A:D,2,FALSE))</f>
        <v>(800) Politicas especiales operadores</v>
      </c>
      <c r="I282" s="20" t="str">
        <f>IF(LEN(G282)=0,"",VLOOKUP(G282,Issues!A:D,3,FALSE))</f>
        <v>Politicas de los operadores cumplidas.</v>
      </c>
      <c r="J282" s="19" t="str">
        <f>IF(LEN(G282)=0,"",VLOOKUP(G282,Issues!A:D,4,FALSE))</f>
        <v>Prueba OK</v>
      </c>
      <c r="K282" s="21" t="str">
        <f t="shared" si="14"/>
        <v>OK</v>
      </c>
    </row>
    <row r="283" spans="1:11" x14ac:dyDescent="0.35">
      <c r="A283" s="23">
        <v>46089</v>
      </c>
      <c r="B283" s="19" t="str">
        <f t="shared" si="13"/>
        <v>marzo</v>
      </c>
      <c r="C283" s="19" t="str">
        <f t="shared" si="15"/>
        <v>2026</v>
      </c>
      <c r="D283" s="25" t="s">
        <v>207</v>
      </c>
      <c r="E283" s="25" t="s">
        <v>10</v>
      </c>
      <c r="F283" s="25" t="s">
        <v>163</v>
      </c>
      <c r="G283" s="24">
        <v>112</v>
      </c>
      <c r="H283" s="19" t="str">
        <f>IF(LEN(G283)=0,"",VLOOKUP(G283,Issues!A:D,2,FALSE))</f>
        <v>(100)  Alta</v>
      </c>
      <c r="I283" s="20" t="str">
        <f>IF(LEN(G283)=0,"",VLOOKUP(G283,Issues!A:D,3,FALSE))</f>
        <v>Falla en alta a traves de tienda.</v>
      </c>
      <c r="J283" s="19" t="str">
        <f>IF(LEN(G283)=0,"",VLOOKUP(G283,Issues!A:D,4,FALSE))</f>
        <v>Critico</v>
      </c>
      <c r="K283" s="21" t="str">
        <f t="shared" si="14"/>
        <v>Issue</v>
      </c>
    </row>
    <row r="284" spans="1:11" x14ac:dyDescent="0.35">
      <c r="A284" s="23">
        <v>46091</v>
      </c>
      <c r="B284" s="19" t="str">
        <f t="shared" si="13"/>
        <v>marzo</v>
      </c>
      <c r="C284" s="19" t="str">
        <f t="shared" si="15"/>
        <v>2026</v>
      </c>
      <c r="D284" s="25" t="s">
        <v>207</v>
      </c>
      <c r="E284" s="25" t="s">
        <v>25</v>
      </c>
      <c r="F284" s="25" t="s">
        <v>197</v>
      </c>
      <c r="G284" s="24">
        <v>308</v>
      </c>
      <c r="H284" s="19" t="str">
        <f>IF(LEN(G284)=0,"",VLOOKUP(G284,Issues!A:D,2,FALSE))</f>
        <v>(300) Cobros</v>
      </c>
      <c r="I284" s="20" t="str">
        <f>IF(LEN(G284)=0,"",VLOOKUP(G284,Issues!A:D,3,FALSE))</f>
        <v>No entrega confirmacion de cobro.</v>
      </c>
      <c r="J284" s="19" t="str">
        <f>IF(LEN(G284)=0,"",VLOOKUP(G284,Issues!A:D,4,FALSE))</f>
        <v>Critico</v>
      </c>
      <c r="K284" s="21" t="str">
        <f t="shared" si="14"/>
        <v>Issue</v>
      </c>
    </row>
    <row r="285" spans="1:11" x14ac:dyDescent="0.35">
      <c r="A285" s="23">
        <v>46148</v>
      </c>
      <c r="B285" s="19" t="str">
        <f t="shared" si="13"/>
        <v>mayo</v>
      </c>
      <c r="C285" s="19" t="str">
        <f t="shared" si="15"/>
        <v>2026</v>
      </c>
      <c r="D285" s="25" t="s">
        <v>207</v>
      </c>
      <c r="E285" s="25" t="s">
        <v>19</v>
      </c>
      <c r="F285" s="25" t="s">
        <v>187</v>
      </c>
      <c r="G285" s="24">
        <v>700</v>
      </c>
      <c r="H285" s="19" t="str">
        <f>IF(LEN(G285)=0,"",VLOOKUP(G285,Issues!A:D,2,FALSE))</f>
        <v>(700) Interaccion MO/MT (On Demand)</v>
      </c>
      <c r="I285" s="20" t="str">
        <f>IF(LEN(G285)=0,"",VLOOKUP(G285,Issues!A:D,3,FALSE))</f>
        <v>Flujo MO/MT con éxito.</v>
      </c>
      <c r="J285" s="19" t="str">
        <f>IF(LEN(G285)=0,"",VLOOKUP(G285,Issues!A:D,4,FALSE))</f>
        <v>Prueba OK</v>
      </c>
      <c r="K285" s="21" t="str">
        <f t="shared" si="14"/>
        <v>OK</v>
      </c>
    </row>
    <row r="286" spans="1:11" x14ac:dyDescent="0.35">
      <c r="A286" s="23">
        <v>46063</v>
      </c>
      <c r="B286" s="19" t="str">
        <f t="shared" si="13"/>
        <v>febrero</v>
      </c>
      <c r="C286" s="19" t="str">
        <f t="shared" si="15"/>
        <v>2026</v>
      </c>
      <c r="D286" s="25" t="s">
        <v>207</v>
      </c>
      <c r="E286" s="25" t="s">
        <v>11</v>
      </c>
      <c r="F286" s="25" t="s">
        <v>166</v>
      </c>
      <c r="G286" s="24">
        <v>209</v>
      </c>
      <c r="H286" s="19" t="str">
        <f>IF(LEN(G286)=0,"",VLOOKUP(G286,Issues!A:D,2,FALSE))</f>
        <v>(200) Contenidos</v>
      </c>
      <c r="I286" s="20" t="str">
        <f>IF(LEN(G286)=0,"",VLOOKUP(G286,Issues!A:D,3,FALSE))</f>
        <v>Contenido desactualizado.</v>
      </c>
      <c r="J286" s="19" t="str">
        <f>IF(LEN(G286)=0,"",VLOOKUP(G286,Issues!A:D,4,FALSE))</f>
        <v>Medio</v>
      </c>
      <c r="K286" s="21" t="str">
        <f t="shared" si="14"/>
        <v>Issue</v>
      </c>
    </row>
    <row r="287" spans="1:11" x14ac:dyDescent="0.35">
      <c r="A287" s="23">
        <v>46034</v>
      </c>
      <c r="B287" s="19" t="str">
        <f t="shared" si="13"/>
        <v>enero</v>
      </c>
      <c r="C287" s="19" t="str">
        <f t="shared" si="15"/>
        <v>2026</v>
      </c>
      <c r="D287" s="25" t="s">
        <v>210</v>
      </c>
      <c r="E287" s="25" t="s">
        <v>24</v>
      </c>
      <c r="F287" s="25" t="s">
        <v>155</v>
      </c>
      <c r="G287" s="24">
        <v>302</v>
      </c>
      <c r="H287" s="19" t="str">
        <f>IF(LEN(G287)=0,"",VLOOKUP(G287,Issues!A:D,2,FALSE))</f>
        <v>(300) Cobros</v>
      </c>
      <c r="I287" s="20" t="str">
        <f>IF(LEN(G287)=0,"",VLOOKUP(G287,Issues!A:D,3,FALSE))</f>
        <v>No llego contenido (no hubo cobro).</v>
      </c>
      <c r="J287" s="19" t="str">
        <f>IF(LEN(G287)=0,"",VLOOKUP(G287,Issues!A:D,4,FALSE))</f>
        <v>Critico</v>
      </c>
      <c r="K287" s="21" t="str">
        <f t="shared" si="14"/>
        <v>Issue</v>
      </c>
    </row>
    <row r="288" spans="1:11" x14ac:dyDescent="0.35">
      <c r="A288" s="23">
        <v>46078</v>
      </c>
      <c r="B288" s="19" t="str">
        <f t="shared" si="13"/>
        <v>febrero</v>
      </c>
      <c r="C288" s="19" t="str">
        <f t="shared" si="15"/>
        <v>2026</v>
      </c>
      <c r="D288" s="25" t="s">
        <v>207</v>
      </c>
      <c r="E288" s="25" t="s">
        <v>16</v>
      </c>
      <c r="F288" s="25" t="s">
        <v>178</v>
      </c>
      <c r="G288" s="24">
        <v>104</v>
      </c>
      <c r="H288" s="19" t="str">
        <f>IF(LEN(G288)=0,"",VLOOKUP(G288,Issues!A:D,2,FALSE))</f>
        <v>(100)  Alta</v>
      </c>
      <c r="I288" s="20" t="str">
        <f>IF(LEN(G288)=0,"",VLOOKUP(G288,Issues!A:D,3,FALSE))</f>
        <v>No llega pin code.</v>
      </c>
      <c r="J288" s="19" t="str">
        <f>IF(LEN(G288)=0,"",VLOOKUP(G288,Issues!A:D,4,FALSE))</f>
        <v>Medio</v>
      </c>
      <c r="K288" s="21" t="str">
        <f t="shared" si="14"/>
        <v>Issue</v>
      </c>
    </row>
    <row r="289" spans="1:11" x14ac:dyDescent="0.35">
      <c r="A289" s="23">
        <v>46119</v>
      </c>
      <c r="B289" s="19" t="str">
        <f t="shared" si="13"/>
        <v>abril</v>
      </c>
      <c r="C289" s="19" t="str">
        <f t="shared" si="15"/>
        <v>2026</v>
      </c>
      <c r="D289" s="25" t="s">
        <v>208</v>
      </c>
      <c r="E289" s="25" t="s">
        <v>13</v>
      </c>
      <c r="F289" s="25" t="s">
        <v>157</v>
      </c>
      <c r="G289" s="24">
        <v>800</v>
      </c>
      <c r="H289" s="19" t="str">
        <f>IF(LEN(G289)=0,"",VLOOKUP(G289,Issues!A:D,2,FALSE))</f>
        <v>(800) Politicas especiales operadores</v>
      </c>
      <c r="I289" s="20" t="str">
        <f>IF(LEN(G289)=0,"",VLOOKUP(G289,Issues!A:D,3,FALSE))</f>
        <v>Politicas de los operadores cumplidas.</v>
      </c>
      <c r="J289" s="19" t="str">
        <f>IF(LEN(G289)=0,"",VLOOKUP(G289,Issues!A:D,4,FALSE))</f>
        <v>Prueba OK</v>
      </c>
      <c r="K289" s="21" t="str">
        <f t="shared" si="14"/>
        <v>OK</v>
      </c>
    </row>
    <row r="290" spans="1:11" x14ac:dyDescent="0.35">
      <c r="A290" s="23">
        <v>46052</v>
      </c>
      <c r="B290" s="19" t="str">
        <f t="shared" si="13"/>
        <v>enero</v>
      </c>
      <c r="C290" s="19" t="str">
        <f t="shared" si="15"/>
        <v>2026</v>
      </c>
      <c r="D290" s="25" t="s">
        <v>207</v>
      </c>
      <c r="E290" s="25" t="s">
        <v>24</v>
      </c>
      <c r="F290" s="25" t="s">
        <v>159</v>
      </c>
      <c r="G290" s="24">
        <v>500</v>
      </c>
      <c r="H290" s="19" t="str">
        <f>IF(LEN(G290)=0,"",VLOOKUP(G290,Issues!A:D,2,FALSE))</f>
        <v>(500) Baja / Cancelacion</v>
      </c>
      <c r="I290" s="20" t="str">
        <f>IF(LEN(G290)=0,"",VLOOKUP(G290,Issues!A:D,3,FALSE))</f>
        <v>Baja con éxito.</v>
      </c>
      <c r="J290" s="19" t="str">
        <f>IF(LEN(G290)=0,"",VLOOKUP(G290,Issues!A:D,4,FALSE))</f>
        <v>Prueba OK</v>
      </c>
      <c r="K290" s="21" t="str">
        <f t="shared" si="14"/>
        <v>OK</v>
      </c>
    </row>
    <row r="291" spans="1:11" x14ac:dyDescent="0.35">
      <c r="A291" s="23">
        <v>46155</v>
      </c>
      <c r="B291" s="19" t="str">
        <f t="shared" si="13"/>
        <v>mayo</v>
      </c>
      <c r="C291" s="19" t="str">
        <f t="shared" si="15"/>
        <v>2026</v>
      </c>
      <c r="D291" s="25" t="s">
        <v>206</v>
      </c>
      <c r="E291" s="25" t="s">
        <v>26</v>
      </c>
      <c r="F291" s="25" t="s">
        <v>160</v>
      </c>
      <c r="G291" s="24">
        <v>200</v>
      </c>
      <c r="H291" s="19" t="str">
        <f>IF(LEN(G291)=0,"",VLOOKUP(G291,Issues!A:D,2,FALSE))</f>
        <v>(200) Contenidos</v>
      </c>
      <c r="I291" s="20" t="str">
        <f>IF(LEN(G291)=0,"",VLOOKUP(G291,Issues!A:D,3,FALSE))</f>
        <v>Contenidos recibido con éxito.</v>
      </c>
      <c r="J291" s="19" t="str">
        <f>IF(LEN(G291)=0,"",VLOOKUP(G291,Issues!A:D,4,FALSE))</f>
        <v>Prueba OK</v>
      </c>
      <c r="K291" s="21" t="str">
        <f t="shared" si="14"/>
        <v>OK</v>
      </c>
    </row>
    <row r="292" spans="1:11" x14ac:dyDescent="0.35">
      <c r="A292" s="23">
        <v>46097</v>
      </c>
      <c r="B292" s="19" t="str">
        <f t="shared" si="13"/>
        <v>marzo</v>
      </c>
      <c r="C292" s="19" t="str">
        <f t="shared" si="15"/>
        <v>2026</v>
      </c>
      <c r="D292" s="25" t="s">
        <v>208</v>
      </c>
      <c r="E292" s="25" t="s">
        <v>22</v>
      </c>
      <c r="F292" s="25" t="s">
        <v>150</v>
      </c>
      <c r="G292" s="24">
        <v>500</v>
      </c>
      <c r="H292" s="19" t="str">
        <f>IF(LEN(G292)=0,"",VLOOKUP(G292,Issues!A:D,2,FALSE))</f>
        <v>(500) Baja / Cancelacion</v>
      </c>
      <c r="I292" s="20" t="str">
        <f>IF(LEN(G292)=0,"",VLOOKUP(G292,Issues!A:D,3,FALSE))</f>
        <v>Baja con éxito.</v>
      </c>
      <c r="J292" s="19" t="str">
        <f>IF(LEN(G292)=0,"",VLOOKUP(G292,Issues!A:D,4,FALSE))</f>
        <v>Prueba OK</v>
      </c>
      <c r="K292" s="21" t="str">
        <f t="shared" si="14"/>
        <v>OK</v>
      </c>
    </row>
    <row r="293" spans="1:11" x14ac:dyDescent="0.35">
      <c r="A293" s="23">
        <v>46120</v>
      </c>
      <c r="B293" s="19" t="str">
        <f t="shared" si="13"/>
        <v>abril</v>
      </c>
      <c r="C293" s="19" t="str">
        <f t="shared" si="15"/>
        <v>2026</v>
      </c>
      <c r="D293" s="25" t="s">
        <v>207</v>
      </c>
      <c r="E293" s="25" t="s">
        <v>27</v>
      </c>
      <c r="F293" s="25" t="s">
        <v>201</v>
      </c>
      <c r="G293" s="24">
        <v>800</v>
      </c>
      <c r="H293" s="19" t="str">
        <f>IF(LEN(G293)=0,"",VLOOKUP(G293,Issues!A:D,2,FALSE))</f>
        <v>(800) Politicas especiales operadores</v>
      </c>
      <c r="I293" s="20" t="str">
        <f>IF(LEN(G293)=0,"",VLOOKUP(G293,Issues!A:D,3,FALSE))</f>
        <v>Politicas de los operadores cumplidas.</v>
      </c>
      <c r="J293" s="19" t="str">
        <f>IF(LEN(G293)=0,"",VLOOKUP(G293,Issues!A:D,4,FALSE))</f>
        <v>Prueba OK</v>
      </c>
      <c r="K293" s="21" t="str">
        <f t="shared" si="14"/>
        <v>OK</v>
      </c>
    </row>
    <row r="294" spans="1:11" x14ac:dyDescent="0.35">
      <c r="A294" s="23">
        <v>46040</v>
      </c>
      <c r="B294" s="19" t="str">
        <f t="shared" si="13"/>
        <v>enero</v>
      </c>
      <c r="C294" s="19" t="str">
        <f t="shared" si="15"/>
        <v>2026</v>
      </c>
      <c r="D294" s="25" t="s">
        <v>207</v>
      </c>
      <c r="E294" s="25" t="s">
        <v>19</v>
      </c>
      <c r="F294" s="25" t="s">
        <v>187</v>
      </c>
      <c r="G294" s="24">
        <v>101</v>
      </c>
      <c r="H294" s="19" t="str">
        <f>IF(LEN(G294)=0,"",VLOOKUP(G294,Issues!A:D,2,FALSE))</f>
        <v>(100)  Alta</v>
      </c>
      <c r="I294" s="20" t="str">
        <f>IF(LEN(G294)=0,"",VLOOKUP(G294,Issues!A:D,3,FALSE))</f>
        <v>No se genero el alta - no hay respuesta al kw.</v>
      </c>
      <c r="J294" s="19" t="str">
        <f>IF(LEN(G294)=0,"",VLOOKUP(G294,Issues!A:D,4,FALSE))</f>
        <v>Critico</v>
      </c>
      <c r="K294" s="21" t="str">
        <f t="shared" si="14"/>
        <v>Issue</v>
      </c>
    </row>
    <row r="295" spans="1:11" x14ac:dyDescent="0.35">
      <c r="A295" s="23">
        <v>46115</v>
      </c>
      <c r="B295" s="19" t="str">
        <f t="shared" si="13"/>
        <v>abril</v>
      </c>
      <c r="C295" s="19" t="str">
        <f t="shared" si="15"/>
        <v>2026</v>
      </c>
      <c r="D295" s="25" t="s">
        <v>208</v>
      </c>
      <c r="E295" s="25" t="s">
        <v>25</v>
      </c>
      <c r="F295" s="25" t="s">
        <v>197</v>
      </c>
      <c r="G295" s="24">
        <v>100</v>
      </c>
      <c r="H295" s="19" t="str">
        <f>IF(LEN(G295)=0,"",VLOOKUP(G295,Issues!A:D,2,FALSE))</f>
        <v>(100)  Alta</v>
      </c>
      <c r="I295" s="20" t="str">
        <f>IF(LEN(G295)=0,"",VLOOKUP(G295,Issues!A:D,3,FALSE))</f>
        <v>Alta con éxito.</v>
      </c>
      <c r="J295" s="19" t="str">
        <f>IF(LEN(G295)=0,"",VLOOKUP(G295,Issues!A:D,4,FALSE))</f>
        <v>Prueba OK</v>
      </c>
      <c r="K295" s="21" t="str">
        <f t="shared" si="14"/>
        <v>OK</v>
      </c>
    </row>
    <row r="296" spans="1:11" x14ac:dyDescent="0.35">
      <c r="A296" s="23">
        <v>46091</v>
      </c>
      <c r="B296" s="19" t="str">
        <f t="shared" si="13"/>
        <v>marzo</v>
      </c>
      <c r="C296" s="19" t="str">
        <f t="shared" si="15"/>
        <v>2026</v>
      </c>
      <c r="D296" s="25" t="s">
        <v>206</v>
      </c>
      <c r="E296" s="25" t="s">
        <v>12</v>
      </c>
      <c r="F296" s="25" t="s">
        <v>168</v>
      </c>
      <c r="G296" s="24">
        <v>300</v>
      </c>
      <c r="H296" s="19" t="str">
        <f>IF(LEN(G296)=0,"",VLOOKUP(G296,Issues!A:D,2,FALSE))</f>
        <v>(300) Cobros</v>
      </c>
      <c r="I296" s="20" t="str">
        <f>IF(LEN(G296)=0,"",VLOOKUP(G296,Issues!A:D,3,FALSE))</f>
        <v>Cobro en valor y forma correcto.</v>
      </c>
      <c r="J296" s="19" t="str">
        <f>IF(LEN(G296)=0,"",VLOOKUP(G296,Issues!A:D,4,FALSE))</f>
        <v>Prueba OK</v>
      </c>
      <c r="K296" s="21" t="str">
        <f t="shared" si="14"/>
        <v>OK</v>
      </c>
    </row>
    <row r="297" spans="1:11" x14ac:dyDescent="0.35">
      <c r="A297" s="23">
        <v>46128</v>
      </c>
      <c r="B297" s="19" t="str">
        <f t="shared" si="13"/>
        <v>abril</v>
      </c>
      <c r="C297" s="19" t="str">
        <f t="shared" si="15"/>
        <v>2026</v>
      </c>
      <c r="D297" s="25" t="s">
        <v>207</v>
      </c>
      <c r="E297" s="25" t="s">
        <v>12</v>
      </c>
      <c r="F297" s="25" t="s">
        <v>168</v>
      </c>
      <c r="G297" s="24">
        <v>200</v>
      </c>
      <c r="H297" s="19" t="str">
        <f>IF(LEN(G297)=0,"",VLOOKUP(G297,Issues!A:D,2,FALSE))</f>
        <v>(200) Contenidos</v>
      </c>
      <c r="I297" s="20" t="str">
        <f>IF(LEN(G297)=0,"",VLOOKUP(G297,Issues!A:D,3,FALSE))</f>
        <v>Contenidos recibido con éxito.</v>
      </c>
      <c r="J297" s="19" t="str">
        <f>IF(LEN(G297)=0,"",VLOOKUP(G297,Issues!A:D,4,FALSE))</f>
        <v>Prueba OK</v>
      </c>
      <c r="K297" s="21" t="str">
        <f t="shared" si="14"/>
        <v>OK</v>
      </c>
    </row>
    <row r="298" spans="1:11" x14ac:dyDescent="0.35">
      <c r="A298" s="23">
        <v>46131</v>
      </c>
      <c r="B298" s="19" t="str">
        <f t="shared" si="13"/>
        <v>abril</v>
      </c>
      <c r="C298" s="19" t="str">
        <f t="shared" si="15"/>
        <v>2026</v>
      </c>
      <c r="D298" s="25" t="s">
        <v>207</v>
      </c>
      <c r="E298" s="25" t="s">
        <v>17</v>
      </c>
      <c r="F298" s="25" t="s">
        <v>180</v>
      </c>
      <c r="G298" s="24">
        <v>210</v>
      </c>
      <c r="H298" s="19" t="str">
        <f>IF(LEN(G298)=0,"",VLOOKUP(G298,Issues!A:D,2,FALSE))</f>
        <v>(200) Contenidos</v>
      </c>
      <c r="I298" s="20" t="str">
        <f>IF(LEN(G298)=0,"",VLOOKUP(G298,Issues!A:D,3,FALSE))</f>
        <v>Contenido no apropiado - fuera de las politicas del operador.</v>
      </c>
      <c r="J298" s="19" t="str">
        <f>IF(LEN(G298)=0,"",VLOOKUP(G298,Issues!A:D,4,FALSE))</f>
        <v>Critico</v>
      </c>
      <c r="K298" s="21" t="str">
        <f t="shared" si="14"/>
        <v>Issue</v>
      </c>
    </row>
    <row r="299" spans="1:11" x14ac:dyDescent="0.35">
      <c r="A299" s="23">
        <v>46142</v>
      </c>
      <c r="B299" s="19" t="str">
        <f t="shared" si="13"/>
        <v>abril</v>
      </c>
      <c r="C299" s="19" t="str">
        <f t="shared" si="15"/>
        <v>2026</v>
      </c>
      <c r="D299" s="25" t="s">
        <v>207</v>
      </c>
      <c r="E299" s="25" t="s">
        <v>20</v>
      </c>
      <c r="F299" s="25" t="s">
        <v>188</v>
      </c>
      <c r="G299" s="24">
        <v>200</v>
      </c>
      <c r="H299" s="19" t="str">
        <f>IF(LEN(G299)=0,"",VLOOKUP(G299,Issues!A:D,2,FALSE))</f>
        <v>(200) Contenidos</v>
      </c>
      <c r="I299" s="20" t="str">
        <f>IF(LEN(G299)=0,"",VLOOKUP(G299,Issues!A:D,3,FALSE))</f>
        <v>Contenidos recibido con éxito.</v>
      </c>
      <c r="J299" s="19" t="str">
        <f>IF(LEN(G299)=0,"",VLOOKUP(G299,Issues!A:D,4,FALSE))</f>
        <v>Prueba OK</v>
      </c>
      <c r="K299" s="21" t="str">
        <f t="shared" si="14"/>
        <v>OK</v>
      </c>
    </row>
    <row r="300" spans="1:11" x14ac:dyDescent="0.35">
      <c r="A300" s="23">
        <v>46087</v>
      </c>
      <c r="B300" s="19" t="str">
        <f t="shared" si="13"/>
        <v>marzo</v>
      </c>
      <c r="C300" s="19" t="str">
        <f t="shared" si="15"/>
        <v>2026</v>
      </c>
      <c r="D300" s="25" t="s">
        <v>207</v>
      </c>
      <c r="E300" s="25" t="s">
        <v>26</v>
      </c>
      <c r="F300" s="25" t="s">
        <v>156</v>
      </c>
      <c r="G300" s="24">
        <v>404</v>
      </c>
      <c r="H300" s="19" t="str">
        <f>IF(LEN(G300)=0,"",VLOOKUP(G300,Issues!A:D,2,FALSE))</f>
        <v>(400) Portales / Web-App</v>
      </c>
      <c r="I300" s="20" t="str">
        <f>IF(LEN(G300)=0,"",VLOOKUP(G300,Issues!A:D,3,FALSE))</f>
        <v>No cumple las politicas de estructura del operador.</v>
      </c>
      <c r="J300" s="19" t="str">
        <f>IF(LEN(G300)=0,"",VLOOKUP(G300,Issues!A:D,4,FALSE))</f>
        <v>Critico</v>
      </c>
      <c r="K300" s="21" t="str">
        <f t="shared" si="14"/>
        <v>Issue</v>
      </c>
    </row>
    <row r="301" spans="1:11" x14ac:dyDescent="0.35">
      <c r="A301" s="23">
        <v>46079</v>
      </c>
      <c r="B301" s="19" t="str">
        <f t="shared" si="13"/>
        <v>febrero</v>
      </c>
      <c r="C301" s="19" t="str">
        <f t="shared" si="15"/>
        <v>2026</v>
      </c>
      <c r="D301" s="25" t="s">
        <v>206</v>
      </c>
      <c r="E301" s="25" t="s">
        <v>20</v>
      </c>
      <c r="F301" s="25" t="s">
        <v>190</v>
      </c>
      <c r="G301" s="24">
        <v>110</v>
      </c>
      <c r="H301" s="19" t="str">
        <f>IF(LEN(G301)=0,"",VLOOKUP(G301,Issues!A:D,2,FALSE))</f>
        <v>(100)  Alta</v>
      </c>
      <c r="I301" s="20" t="str">
        <f>IF(LEN(G301)=0,"",VLOOKUP(G301,Issues!A:D,3,FALSE))</f>
        <v>Falla en alta a traves de ivr.</v>
      </c>
      <c r="J301" s="19" t="str">
        <f>IF(LEN(G301)=0,"",VLOOKUP(G301,Issues!A:D,4,FALSE))</f>
        <v>Critico</v>
      </c>
      <c r="K301" s="21" t="str">
        <f t="shared" si="14"/>
        <v>Issue</v>
      </c>
    </row>
    <row r="302" spans="1:11" x14ac:dyDescent="0.35">
      <c r="A302" s="23">
        <v>46033</v>
      </c>
      <c r="B302" s="19" t="str">
        <f t="shared" si="13"/>
        <v>enero</v>
      </c>
      <c r="C302" s="19" t="str">
        <f t="shared" si="15"/>
        <v>2026</v>
      </c>
      <c r="D302" s="25" t="s">
        <v>206</v>
      </c>
      <c r="E302" s="25" t="s">
        <v>12</v>
      </c>
      <c r="F302" s="25" t="s">
        <v>168</v>
      </c>
      <c r="G302" s="24">
        <v>500</v>
      </c>
      <c r="H302" s="19" t="str">
        <f>IF(LEN(G302)=0,"",VLOOKUP(G302,Issues!A:D,2,FALSE))</f>
        <v>(500) Baja / Cancelacion</v>
      </c>
      <c r="I302" s="20" t="str">
        <f>IF(LEN(G302)=0,"",VLOOKUP(G302,Issues!A:D,3,FALSE))</f>
        <v>Baja con éxito.</v>
      </c>
      <c r="J302" s="19" t="str">
        <f>IF(LEN(G302)=0,"",VLOOKUP(G302,Issues!A:D,4,FALSE))</f>
        <v>Prueba OK</v>
      </c>
      <c r="K302" s="21" t="str">
        <f t="shared" si="14"/>
        <v>OK</v>
      </c>
    </row>
    <row r="303" spans="1:11" x14ac:dyDescent="0.35">
      <c r="A303" s="23">
        <v>46023</v>
      </c>
      <c r="B303" s="19" t="str">
        <f t="shared" si="13"/>
        <v>enero</v>
      </c>
      <c r="C303" s="19" t="str">
        <f t="shared" si="15"/>
        <v>2026</v>
      </c>
      <c r="D303" s="25" t="s">
        <v>210</v>
      </c>
      <c r="E303" s="25" t="s">
        <v>12</v>
      </c>
      <c r="F303" s="25" t="s">
        <v>168</v>
      </c>
      <c r="G303" s="24">
        <v>504</v>
      </c>
      <c r="H303" s="19" t="str">
        <f>IF(LEN(G303)=0,"",VLOOKUP(G303,Issues!A:D,2,FALSE))</f>
        <v>(500) Baja / Cancelacion</v>
      </c>
      <c r="I303" s="20" t="str">
        <f>IF(LEN(G303)=0,"",VLOOKUP(G303,Issues!A:D,3,FALSE))</f>
        <v>No funciona la baja desde la lp.</v>
      </c>
      <c r="J303" s="19" t="str">
        <f>IF(LEN(G303)=0,"",VLOOKUP(G303,Issues!A:D,4,FALSE))</f>
        <v>Critico</v>
      </c>
      <c r="K303" s="21" t="str">
        <f t="shared" si="14"/>
        <v>Issue</v>
      </c>
    </row>
    <row r="304" spans="1:11" x14ac:dyDescent="0.35">
      <c r="A304" s="23">
        <v>46030</v>
      </c>
      <c r="B304" s="19" t="str">
        <f t="shared" si="13"/>
        <v>enero</v>
      </c>
      <c r="C304" s="19" t="str">
        <f t="shared" si="15"/>
        <v>2026</v>
      </c>
      <c r="D304" s="25" t="s">
        <v>207</v>
      </c>
      <c r="E304" s="25" t="s">
        <v>19</v>
      </c>
      <c r="F304" s="25" t="s">
        <v>186</v>
      </c>
      <c r="G304" s="24">
        <v>308</v>
      </c>
      <c r="H304" s="19" t="str">
        <f>IF(LEN(G304)=0,"",VLOOKUP(G304,Issues!A:D,2,FALSE))</f>
        <v>(300) Cobros</v>
      </c>
      <c r="I304" s="20" t="str">
        <f>IF(LEN(G304)=0,"",VLOOKUP(G304,Issues!A:D,3,FALSE))</f>
        <v>No entrega confirmacion de cobro.</v>
      </c>
      <c r="J304" s="19" t="str">
        <f>IF(LEN(G304)=0,"",VLOOKUP(G304,Issues!A:D,4,FALSE))</f>
        <v>Critico</v>
      </c>
      <c r="K304" s="21" t="str">
        <f t="shared" si="14"/>
        <v>Issue</v>
      </c>
    </row>
    <row r="305" spans="1:11" x14ac:dyDescent="0.35">
      <c r="A305" s="23">
        <v>46031</v>
      </c>
      <c r="B305" s="19" t="str">
        <f t="shared" si="13"/>
        <v>enero</v>
      </c>
      <c r="C305" s="19" t="str">
        <f t="shared" si="15"/>
        <v>2026</v>
      </c>
      <c r="D305" s="25" t="s">
        <v>207</v>
      </c>
      <c r="E305" s="25" t="s">
        <v>17</v>
      </c>
      <c r="F305" s="25" t="s">
        <v>181</v>
      </c>
      <c r="G305" s="24">
        <v>200</v>
      </c>
      <c r="H305" s="19" t="str">
        <f>IF(LEN(G305)=0,"",VLOOKUP(G305,Issues!A:D,2,FALSE))</f>
        <v>(200) Contenidos</v>
      </c>
      <c r="I305" s="20" t="str">
        <f>IF(LEN(G305)=0,"",VLOOKUP(G305,Issues!A:D,3,FALSE))</f>
        <v>Contenidos recibido con éxito.</v>
      </c>
      <c r="J305" s="19" t="str">
        <f>IF(LEN(G305)=0,"",VLOOKUP(G305,Issues!A:D,4,FALSE))</f>
        <v>Prueba OK</v>
      </c>
      <c r="K305" s="21" t="str">
        <f t="shared" si="14"/>
        <v>OK</v>
      </c>
    </row>
    <row r="306" spans="1:11" x14ac:dyDescent="0.35">
      <c r="A306" s="23">
        <v>46027</v>
      </c>
      <c r="B306" s="19" t="str">
        <f t="shared" si="13"/>
        <v>enero</v>
      </c>
      <c r="C306" s="19" t="str">
        <f t="shared" si="15"/>
        <v>2026</v>
      </c>
      <c r="D306" s="25" t="s">
        <v>207</v>
      </c>
      <c r="E306" s="25" t="s">
        <v>16</v>
      </c>
      <c r="F306" s="25" t="s">
        <v>177</v>
      </c>
      <c r="G306" s="24">
        <v>500</v>
      </c>
      <c r="H306" s="19" t="str">
        <f>IF(LEN(G306)=0,"",VLOOKUP(G306,Issues!A:D,2,FALSE))</f>
        <v>(500) Baja / Cancelacion</v>
      </c>
      <c r="I306" s="20" t="str">
        <f>IF(LEN(G306)=0,"",VLOOKUP(G306,Issues!A:D,3,FALSE))</f>
        <v>Baja con éxito.</v>
      </c>
      <c r="J306" s="19" t="str">
        <f>IF(LEN(G306)=0,"",VLOOKUP(G306,Issues!A:D,4,FALSE))</f>
        <v>Prueba OK</v>
      </c>
      <c r="K306" s="21" t="str">
        <f t="shared" si="14"/>
        <v>OK</v>
      </c>
    </row>
    <row r="307" spans="1:11" x14ac:dyDescent="0.35">
      <c r="A307" s="23">
        <v>46067</v>
      </c>
      <c r="B307" s="19" t="str">
        <f t="shared" si="13"/>
        <v>febrero</v>
      </c>
      <c r="C307" s="19" t="str">
        <f t="shared" si="15"/>
        <v>2026</v>
      </c>
      <c r="D307" s="25" t="s">
        <v>207</v>
      </c>
      <c r="E307" s="25" t="s">
        <v>12</v>
      </c>
      <c r="F307" s="25" t="s">
        <v>167</v>
      </c>
      <c r="G307" s="24">
        <v>500</v>
      </c>
      <c r="H307" s="19" t="str">
        <f>IF(LEN(G307)=0,"",VLOOKUP(G307,Issues!A:D,2,FALSE))</f>
        <v>(500) Baja / Cancelacion</v>
      </c>
      <c r="I307" s="20" t="str">
        <f>IF(LEN(G307)=0,"",VLOOKUP(G307,Issues!A:D,3,FALSE))</f>
        <v>Baja con éxito.</v>
      </c>
      <c r="J307" s="19" t="str">
        <f>IF(LEN(G307)=0,"",VLOOKUP(G307,Issues!A:D,4,FALSE))</f>
        <v>Prueba OK</v>
      </c>
      <c r="K307" s="21" t="str">
        <f t="shared" si="14"/>
        <v>OK</v>
      </c>
    </row>
    <row r="308" spans="1:11" x14ac:dyDescent="0.35">
      <c r="A308" s="23">
        <v>46060</v>
      </c>
      <c r="B308" s="19" t="str">
        <f t="shared" si="13"/>
        <v>febrero</v>
      </c>
      <c r="C308" s="19" t="str">
        <f t="shared" si="15"/>
        <v>2026</v>
      </c>
      <c r="D308" s="25" t="s">
        <v>207</v>
      </c>
      <c r="E308" s="25" t="s">
        <v>13</v>
      </c>
      <c r="F308" s="25" t="s">
        <v>153</v>
      </c>
      <c r="G308" s="24">
        <v>209</v>
      </c>
      <c r="H308" s="19" t="str">
        <f>IF(LEN(G308)=0,"",VLOOKUP(G308,Issues!A:D,2,FALSE))</f>
        <v>(200) Contenidos</v>
      </c>
      <c r="I308" s="20" t="str">
        <f>IF(LEN(G308)=0,"",VLOOKUP(G308,Issues!A:D,3,FALSE))</f>
        <v>Contenido desactualizado.</v>
      </c>
      <c r="J308" s="19" t="str">
        <f>IF(LEN(G308)=0,"",VLOOKUP(G308,Issues!A:D,4,FALSE))</f>
        <v>Medio</v>
      </c>
      <c r="K308" s="21" t="str">
        <f t="shared" si="14"/>
        <v>Issue</v>
      </c>
    </row>
    <row r="309" spans="1:11" x14ac:dyDescent="0.35">
      <c r="A309" s="23">
        <v>46079</v>
      </c>
      <c r="B309" s="19" t="str">
        <f t="shared" si="13"/>
        <v>febrero</v>
      </c>
      <c r="C309" s="19" t="str">
        <f t="shared" si="15"/>
        <v>2026</v>
      </c>
      <c r="D309" s="25" t="s">
        <v>207</v>
      </c>
      <c r="E309" s="25" t="s">
        <v>19</v>
      </c>
      <c r="F309" s="25" t="s">
        <v>186</v>
      </c>
      <c r="G309" s="24">
        <v>405</v>
      </c>
      <c r="H309" s="19" t="str">
        <f>IF(LEN(G309)=0,"",VLOOKUP(G309,Issues!A:D,2,FALSE))</f>
        <v>(400) Portales / Web-App</v>
      </c>
      <c r="I309" s="20" t="str">
        <f>IF(LEN(G309)=0,"",VLOOKUP(G309,Issues!A:D,3,FALSE))</f>
        <v>Problemas de estructura o textos del portal o web-app.</v>
      </c>
      <c r="J309" s="19" t="str">
        <f>IF(LEN(G309)=0,"",VLOOKUP(G309,Issues!A:D,4,FALSE))</f>
        <v>Medio</v>
      </c>
      <c r="K309" s="21" t="str">
        <f t="shared" si="14"/>
        <v>Issue</v>
      </c>
    </row>
    <row r="310" spans="1:11" x14ac:dyDescent="0.35">
      <c r="A310" s="23">
        <v>46134</v>
      </c>
      <c r="B310" s="19" t="str">
        <f t="shared" si="13"/>
        <v>abril</v>
      </c>
      <c r="C310" s="19" t="str">
        <f t="shared" si="15"/>
        <v>2026</v>
      </c>
      <c r="D310" s="25" t="s">
        <v>207</v>
      </c>
      <c r="E310" s="25" t="s">
        <v>21</v>
      </c>
      <c r="F310" s="25" t="s">
        <v>191</v>
      </c>
      <c r="G310" s="24">
        <v>209</v>
      </c>
      <c r="H310" s="19" t="str">
        <f>IF(LEN(G310)=0,"",VLOOKUP(G310,Issues!A:D,2,FALSE))</f>
        <v>(200) Contenidos</v>
      </c>
      <c r="I310" s="20" t="str">
        <f>IF(LEN(G310)=0,"",VLOOKUP(G310,Issues!A:D,3,FALSE))</f>
        <v>Contenido desactualizado.</v>
      </c>
      <c r="J310" s="19" t="str">
        <f>IF(LEN(G310)=0,"",VLOOKUP(G310,Issues!A:D,4,FALSE))</f>
        <v>Medio</v>
      </c>
      <c r="K310" s="21" t="str">
        <f t="shared" si="14"/>
        <v>Issue</v>
      </c>
    </row>
    <row r="311" spans="1:11" x14ac:dyDescent="0.35">
      <c r="A311" s="23">
        <v>46109</v>
      </c>
      <c r="B311" s="19" t="str">
        <f t="shared" si="13"/>
        <v>marzo</v>
      </c>
      <c r="C311" s="19" t="str">
        <f t="shared" si="15"/>
        <v>2026</v>
      </c>
      <c r="D311" s="25" t="s">
        <v>206</v>
      </c>
      <c r="E311" s="25" t="s">
        <v>12</v>
      </c>
      <c r="F311" s="25" t="s">
        <v>167</v>
      </c>
      <c r="G311" s="24">
        <v>107</v>
      </c>
      <c r="H311" s="19" t="str">
        <f>IF(LEN(G311)=0,"",VLOOKUP(G311,Issues!A:D,2,FALSE))</f>
        <v>(100)  Alta</v>
      </c>
      <c r="I311" s="20" t="str">
        <f>IF(LEN(G311)=0,"",VLOOKUP(G311,Issues!A:D,3,FALSE))</f>
        <v>Falla en lp de suscripción wap - header enrichment.</v>
      </c>
      <c r="J311" s="19" t="str">
        <f>IF(LEN(G311)=0,"",VLOOKUP(G311,Issues!A:D,4,FALSE))</f>
        <v>Critico</v>
      </c>
      <c r="K311" s="21" t="str">
        <f t="shared" si="14"/>
        <v>Issue</v>
      </c>
    </row>
    <row r="312" spans="1:11" x14ac:dyDescent="0.35">
      <c r="A312" s="23">
        <v>46155</v>
      </c>
      <c r="B312" s="19" t="str">
        <f t="shared" si="13"/>
        <v>mayo</v>
      </c>
      <c r="C312" s="19" t="str">
        <f t="shared" si="15"/>
        <v>2026</v>
      </c>
      <c r="D312" s="25" t="s">
        <v>206</v>
      </c>
      <c r="E312" s="25" t="s">
        <v>20</v>
      </c>
      <c r="F312" s="25" t="s">
        <v>190</v>
      </c>
      <c r="G312" s="24">
        <v>109</v>
      </c>
      <c r="H312" s="19" t="str">
        <f>IF(LEN(G312)=0,"",VLOOKUP(G312,Issues!A:D,2,FALSE))</f>
        <v>(100)  Alta</v>
      </c>
      <c r="I312" s="20" t="str">
        <f>IF(LEN(G312)=0,"",VLOOKUP(G312,Issues!A:D,3,FALSE))</f>
        <v>Fallas en estructura o diseño de la lp.</v>
      </c>
      <c r="J312" s="19" t="str">
        <f>IF(LEN(G312)=0,"",VLOOKUP(G312,Issues!A:D,4,FALSE))</f>
        <v>Medio</v>
      </c>
      <c r="K312" s="21" t="str">
        <f t="shared" si="14"/>
        <v>Issue</v>
      </c>
    </row>
    <row r="313" spans="1:11" x14ac:dyDescent="0.35">
      <c r="A313" s="23">
        <v>46032</v>
      </c>
      <c r="B313" s="19" t="str">
        <f t="shared" si="13"/>
        <v>enero</v>
      </c>
      <c r="C313" s="19" t="str">
        <f t="shared" si="15"/>
        <v>2026</v>
      </c>
      <c r="D313" s="25" t="s">
        <v>206</v>
      </c>
      <c r="E313" s="25" t="s">
        <v>26</v>
      </c>
      <c r="F313" s="25" t="s">
        <v>156</v>
      </c>
      <c r="G313" s="24">
        <v>308</v>
      </c>
      <c r="H313" s="19" t="str">
        <f>IF(LEN(G313)=0,"",VLOOKUP(G313,Issues!A:D,2,FALSE))</f>
        <v>(300) Cobros</v>
      </c>
      <c r="I313" s="20" t="str">
        <f>IF(LEN(G313)=0,"",VLOOKUP(G313,Issues!A:D,3,FALSE))</f>
        <v>No entrega confirmacion de cobro.</v>
      </c>
      <c r="J313" s="19" t="str">
        <f>IF(LEN(G313)=0,"",VLOOKUP(G313,Issues!A:D,4,FALSE))</f>
        <v>Critico</v>
      </c>
      <c r="K313" s="21" t="str">
        <f t="shared" si="14"/>
        <v>Issue</v>
      </c>
    </row>
    <row r="314" spans="1:11" x14ac:dyDescent="0.35">
      <c r="A314" s="23">
        <v>46077</v>
      </c>
      <c r="B314" s="19" t="str">
        <f t="shared" si="13"/>
        <v>febrero</v>
      </c>
      <c r="C314" s="19" t="str">
        <f t="shared" si="15"/>
        <v>2026</v>
      </c>
      <c r="D314" s="25" t="s">
        <v>208</v>
      </c>
      <c r="E314" s="25" t="s">
        <v>10</v>
      </c>
      <c r="F314" s="25" t="s">
        <v>162</v>
      </c>
      <c r="G314" s="24">
        <v>108</v>
      </c>
      <c r="H314" s="19" t="str">
        <f>IF(LEN(G314)=0,"",VLOOKUP(G314,Issues!A:D,2,FALSE))</f>
        <v>(100)  Alta</v>
      </c>
      <c r="I314" s="20" t="str">
        <f>IF(LEN(G314)=0,"",VLOOKUP(G314,Issues!A:D,3,FALSE))</f>
        <v>Inconsistencias en t&amp;c en la lp.</v>
      </c>
      <c r="J314" s="19" t="str">
        <f>IF(LEN(G314)=0,"",VLOOKUP(G314,Issues!A:D,4,FALSE))</f>
        <v>Critico</v>
      </c>
      <c r="K314" s="21" t="str">
        <f t="shared" si="14"/>
        <v>Issue</v>
      </c>
    </row>
    <row r="315" spans="1:11" x14ac:dyDescent="0.35">
      <c r="A315" s="23">
        <v>46102</v>
      </c>
      <c r="B315" s="19" t="str">
        <f t="shared" si="13"/>
        <v>marzo</v>
      </c>
      <c r="C315" s="19" t="str">
        <f t="shared" si="15"/>
        <v>2026</v>
      </c>
      <c r="D315" s="25" t="s">
        <v>206</v>
      </c>
      <c r="E315" s="25" t="s">
        <v>26</v>
      </c>
      <c r="F315" s="25" t="s">
        <v>160</v>
      </c>
      <c r="G315" s="24">
        <v>105</v>
      </c>
      <c r="H315" s="19" t="str">
        <f>IF(LEN(G315)=0,"",VLOOKUP(G315,Issues!A:D,2,FALSE))</f>
        <v>(100)  Alta</v>
      </c>
      <c r="I315" s="20" t="str">
        <f>IF(LEN(G315)=0,"",VLOOKUP(G315,Issues!A:D,3,FALSE))</f>
        <v>Inconsistencia en el pin code.</v>
      </c>
      <c r="J315" s="19" t="str">
        <f>IF(LEN(G315)=0,"",VLOOKUP(G315,Issues!A:D,4,FALSE))</f>
        <v>Medio</v>
      </c>
      <c r="K315" s="21" t="str">
        <f t="shared" si="14"/>
        <v>Issue</v>
      </c>
    </row>
    <row r="316" spans="1:11" x14ac:dyDescent="0.35">
      <c r="A316" s="23">
        <v>46033</v>
      </c>
      <c r="B316" s="19" t="str">
        <f t="shared" si="13"/>
        <v>enero</v>
      </c>
      <c r="C316" s="19" t="str">
        <f t="shared" si="15"/>
        <v>2026</v>
      </c>
      <c r="D316" s="25" t="s">
        <v>206</v>
      </c>
      <c r="E316" s="25" t="s">
        <v>18</v>
      </c>
      <c r="F316" s="25" t="s">
        <v>184</v>
      </c>
      <c r="G316" s="24">
        <v>114</v>
      </c>
      <c r="H316" s="19" t="str">
        <f>IF(LEN(G316)=0,"",VLOOKUP(G316,Issues!A:D,2,FALSE))</f>
        <v>(100)  Alta</v>
      </c>
      <c r="I316" s="20" t="str">
        <f>IF(LEN(G316)=0,"",VLOOKUP(G316,Issues!A:D,3,FALSE))</f>
        <v>Falla en doble optin en sim.</v>
      </c>
      <c r="J316" s="19" t="str">
        <f>IF(LEN(G316)=0,"",VLOOKUP(G316,Issues!A:D,4,FALSE))</f>
        <v>Critico</v>
      </c>
      <c r="K316" s="21" t="str">
        <f t="shared" si="14"/>
        <v>Issue</v>
      </c>
    </row>
    <row r="317" spans="1:11" x14ac:dyDescent="0.35">
      <c r="A317" s="23">
        <v>46097</v>
      </c>
      <c r="B317" s="19" t="str">
        <f t="shared" si="13"/>
        <v>marzo</v>
      </c>
      <c r="C317" s="19" t="str">
        <f t="shared" si="15"/>
        <v>2026</v>
      </c>
      <c r="D317" s="25" t="s">
        <v>207</v>
      </c>
      <c r="E317" s="25" t="s">
        <v>24</v>
      </c>
      <c r="F317" s="25" t="s">
        <v>159</v>
      </c>
      <c r="G317" s="24">
        <v>305</v>
      </c>
      <c r="H317" s="19" t="str">
        <f>IF(LEN(G317)=0,"",VLOOKUP(G317,Issues!A:D,2,FALSE))</f>
        <v>(300) Cobros</v>
      </c>
      <c r="I317" s="20" t="str">
        <f>IF(LEN(G317)=0,"",VLOOKUP(G317,Issues!A:D,3,FALSE))</f>
        <v>Cobro doble vez.</v>
      </c>
      <c r="J317" s="19" t="str">
        <f>IF(LEN(G317)=0,"",VLOOKUP(G317,Issues!A:D,4,FALSE))</f>
        <v>Critico</v>
      </c>
      <c r="K317" s="21" t="str">
        <f t="shared" si="14"/>
        <v>Issue</v>
      </c>
    </row>
    <row r="318" spans="1:11" x14ac:dyDescent="0.35">
      <c r="A318" s="23">
        <v>46066</v>
      </c>
      <c r="B318" s="19" t="str">
        <f t="shared" si="13"/>
        <v>febrero</v>
      </c>
      <c r="C318" s="19" t="str">
        <f t="shared" si="15"/>
        <v>2026</v>
      </c>
      <c r="D318" s="25" t="s">
        <v>207</v>
      </c>
      <c r="E318" s="25" t="s">
        <v>19</v>
      </c>
      <c r="F318" s="25" t="s">
        <v>186</v>
      </c>
      <c r="G318" s="24">
        <v>110</v>
      </c>
      <c r="H318" s="19" t="str">
        <f>IF(LEN(G318)=0,"",VLOOKUP(G318,Issues!A:D,2,FALSE))</f>
        <v>(100)  Alta</v>
      </c>
      <c r="I318" s="20" t="str">
        <f>IF(LEN(G318)=0,"",VLOOKUP(G318,Issues!A:D,3,FALSE))</f>
        <v>Falla en alta a traves de ivr.</v>
      </c>
      <c r="J318" s="19" t="str">
        <f>IF(LEN(G318)=0,"",VLOOKUP(G318,Issues!A:D,4,FALSE))</f>
        <v>Critico</v>
      </c>
      <c r="K318" s="21" t="str">
        <f t="shared" si="14"/>
        <v>Issue</v>
      </c>
    </row>
    <row r="319" spans="1:11" x14ac:dyDescent="0.35">
      <c r="A319" s="23">
        <v>46078</v>
      </c>
      <c r="B319" s="19" t="str">
        <f t="shared" si="13"/>
        <v>febrero</v>
      </c>
      <c r="C319" s="19" t="str">
        <f t="shared" si="15"/>
        <v>2026</v>
      </c>
      <c r="D319" s="25" t="s">
        <v>206</v>
      </c>
      <c r="E319" s="25" t="s">
        <v>23</v>
      </c>
      <c r="F319" s="25" t="s">
        <v>196</v>
      </c>
      <c r="G319" s="24">
        <v>400</v>
      </c>
      <c r="H319" s="19" t="str">
        <f>IF(LEN(G319)=0,"",VLOOKUP(G319,Issues!A:D,2,FALSE))</f>
        <v>(400) Portales / Web-App</v>
      </c>
      <c r="I319" s="20" t="str">
        <f>IF(LEN(G319)=0,"",VLOOKUP(G319,Issues!A:D,3,FALSE))</f>
        <v>Portal evaluado con éxito.</v>
      </c>
      <c r="J319" s="19" t="str">
        <f>IF(LEN(G319)=0,"",VLOOKUP(G319,Issues!A:D,4,FALSE))</f>
        <v>Prueba OK</v>
      </c>
      <c r="K319" s="21" t="str">
        <f t="shared" si="14"/>
        <v>OK</v>
      </c>
    </row>
    <row r="320" spans="1:11" x14ac:dyDescent="0.35">
      <c r="A320" s="23">
        <v>46132</v>
      </c>
      <c r="B320" s="19" t="str">
        <f t="shared" si="13"/>
        <v>abril</v>
      </c>
      <c r="C320" s="19" t="str">
        <f t="shared" si="15"/>
        <v>2026</v>
      </c>
      <c r="D320" s="25" t="s">
        <v>206</v>
      </c>
      <c r="E320" s="25" t="s">
        <v>23</v>
      </c>
      <c r="F320" s="25" t="s">
        <v>196</v>
      </c>
      <c r="G320" s="24">
        <v>400</v>
      </c>
      <c r="H320" s="19" t="str">
        <f>IF(LEN(G320)=0,"",VLOOKUP(G320,Issues!A:D,2,FALSE))</f>
        <v>(400) Portales / Web-App</v>
      </c>
      <c r="I320" s="20" t="str">
        <f>IF(LEN(G320)=0,"",VLOOKUP(G320,Issues!A:D,3,FALSE))</f>
        <v>Portal evaluado con éxito.</v>
      </c>
      <c r="J320" s="19" t="str">
        <f>IF(LEN(G320)=0,"",VLOOKUP(G320,Issues!A:D,4,FALSE))</f>
        <v>Prueba OK</v>
      </c>
      <c r="K320" s="21" t="str">
        <f t="shared" si="14"/>
        <v>OK</v>
      </c>
    </row>
    <row r="321" spans="1:11" x14ac:dyDescent="0.35">
      <c r="A321" s="23">
        <v>46103</v>
      </c>
      <c r="B321" s="19" t="str">
        <f t="shared" si="13"/>
        <v>marzo</v>
      </c>
      <c r="C321" s="19" t="str">
        <f t="shared" si="15"/>
        <v>2026</v>
      </c>
      <c r="D321" s="25" t="s">
        <v>207</v>
      </c>
      <c r="E321" s="25" t="s">
        <v>19</v>
      </c>
      <c r="F321" s="25" t="s">
        <v>186</v>
      </c>
      <c r="G321" s="24">
        <v>101</v>
      </c>
      <c r="H321" s="19" t="str">
        <f>IF(LEN(G321)=0,"",VLOOKUP(G321,Issues!A:D,2,FALSE))</f>
        <v>(100)  Alta</v>
      </c>
      <c r="I321" s="20" t="str">
        <f>IF(LEN(G321)=0,"",VLOOKUP(G321,Issues!A:D,3,FALSE))</f>
        <v>No se genero el alta - no hay respuesta al kw.</v>
      </c>
      <c r="J321" s="19" t="str">
        <f>IF(LEN(G321)=0,"",VLOOKUP(G321,Issues!A:D,4,FALSE))</f>
        <v>Critico</v>
      </c>
      <c r="K321" s="21" t="str">
        <f t="shared" si="14"/>
        <v>Issue</v>
      </c>
    </row>
    <row r="322" spans="1:11" x14ac:dyDescent="0.35">
      <c r="A322" s="23">
        <v>46048</v>
      </c>
      <c r="B322" s="19" t="str">
        <f t="shared" si="13"/>
        <v>enero</v>
      </c>
      <c r="C322" s="19" t="str">
        <f t="shared" si="15"/>
        <v>2026</v>
      </c>
      <c r="D322" s="25" t="s">
        <v>206</v>
      </c>
      <c r="E322" s="25" t="s">
        <v>27</v>
      </c>
      <c r="F322" s="25" t="s">
        <v>201</v>
      </c>
      <c r="G322" s="24">
        <v>700</v>
      </c>
      <c r="H322" s="19" t="str">
        <f>IF(LEN(G322)=0,"",VLOOKUP(G322,Issues!A:D,2,FALSE))</f>
        <v>(700) Interaccion MO/MT (On Demand)</v>
      </c>
      <c r="I322" s="20" t="str">
        <f>IF(LEN(G322)=0,"",VLOOKUP(G322,Issues!A:D,3,FALSE))</f>
        <v>Flujo MO/MT con éxito.</v>
      </c>
      <c r="J322" s="19" t="str">
        <f>IF(LEN(G322)=0,"",VLOOKUP(G322,Issues!A:D,4,FALSE))</f>
        <v>Prueba OK</v>
      </c>
      <c r="K322" s="21" t="str">
        <f t="shared" si="14"/>
        <v>OK</v>
      </c>
    </row>
    <row r="323" spans="1:11" x14ac:dyDescent="0.35">
      <c r="A323" s="23">
        <v>46129</v>
      </c>
      <c r="B323" s="19" t="str">
        <f t="shared" ref="B323:B386" si="16">IF(LEN(A323)=0,"",TEXT(A323,"mmmm"))</f>
        <v>abril</v>
      </c>
      <c r="C323" s="19" t="str">
        <f t="shared" si="15"/>
        <v>2026</v>
      </c>
      <c r="D323" s="25" t="s">
        <v>206</v>
      </c>
      <c r="E323" s="25" t="s">
        <v>19</v>
      </c>
      <c r="F323" s="25" t="s">
        <v>185</v>
      </c>
      <c r="G323" s="24">
        <v>200</v>
      </c>
      <c r="H323" s="19" t="str">
        <f>IF(LEN(G323)=0,"",VLOOKUP(G323,Issues!A:D,2,FALSE))</f>
        <v>(200) Contenidos</v>
      </c>
      <c r="I323" s="20" t="str">
        <f>IF(LEN(G323)=0,"",VLOOKUP(G323,Issues!A:D,3,FALSE))</f>
        <v>Contenidos recibido con éxito.</v>
      </c>
      <c r="J323" s="19" t="str">
        <f>IF(LEN(G323)=0,"",VLOOKUP(G323,Issues!A:D,4,FALSE))</f>
        <v>Prueba OK</v>
      </c>
      <c r="K323" s="21" t="str">
        <f t="shared" ref="K323:K386" si="17">IF(LEN(G323)=0,"",IF(OR(J323="critico",J323="Medio",J323="Bajo"),"Issue",IF(J323="Prueba OK","OK","")))</f>
        <v>OK</v>
      </c>
    </row>
    <row r="324" spans="1:11" x14ac:dyDescent="0.35">
      <c r="A324" s="23">
        <v>46112</v>
      </c>
      <c r="B324" s="19" t="str">
        <f t="shared" si="16"/>
        <v>marzo</v>
      </c>
      <c r="C324" s="19" t="str">
        <f t="shared" si="15"/>
        <v>2026</v>
      </c>
      <c r="D324" s="25" t="s">
        <v>206</v>
      </c>
      <c r="E324" s="25" t="s">
        <v>12</v>
      </c>
      <c r="F324" s="25" t="s">
        <v>167</v>
      </c>
      <c r="G324" s="24">
        <v>700</v>
      </c>
      <c r="H324" s="19" t="str">
        <f>IF(LEN(G324)=0,"",VLOOKUP(G324,Issues!A:D,2,FALSE))</f>
        <v>(700) Interaccion MO/MT (On Demand)</v>
      </c>
      <c r="I324" s="20" t="str">
        <f>IF(LEN(G324)=0,"",VLOOKUP(G324,Issues!A:D,3,FALSE))</f>
        <v>Flujo MO/MT con éxito.</v>
      </c>
      <c r="J324" s="19" t="str">
        <f>IF(LEN(G324)=0,"",VLOOKUP(G324,Issues!A:D,4,FALSE))</f>
        <v>Prueba OK</v>
      </c>
      <c r="K324" s="21" t="str">
        <f t="shared" si="17"/>
        <v>OK</v>
      </c>
    </row>
    <row r="325" spans="1:11" x14ac:dyDescent="0.35">
      <c r="A325" s="23">
        <v>46145</v>
      </c>
      <c r="B325" s="19" t="str">
        <f t="shared" si="16"/>
        <v>mayo</v>
      </c>
      <c r="C325" s="19" t="str">
        <f t="shared" si="15"/>
        <v>2026</v>
      </c>
      <c r="D325" s="25" t="s">
        <v>206</v>
      </c>
      <c r="E325" s="25" t="s">
        <v>17</v>
      </c>
      <c r="F325" s="25" t="s">
        <v>181</v>
      </c>
      <c r="G325" s="24">
        <v>200</v>
      </c>
      <c r="H325" s="19" t="str">
        <f>IF(LEN(G325)=0,"",VLOOKUP(G325,Issues!A:D,2,FALSE))</f>
        <v>(200) Contenidos</v>
      </c>
      <c r="I325" s="20" t="str">
        <f>IF(LEN(G325)=0,"",VLOOKUP(G325,Issues!A:D,3,FALSE))</f>
        <v>Contenidos recibido con éxito.</v>
      </c>
      <c r="J325" s="19" t="str">
        <f>IF(LEN(G325)=0,"",VLOOKUP(G325,Issues!A:D,4,FALSE))</f>
        <v>Prueba OK</v>
      </c>
      <c r="K325" s="21" t="str">
        <f t="shared" si="17"/>
        <v>OK</v>
      </c>
    </row>
    <row r="326" spans="1:11" x14ac:dyDescent="0.35">
      <c r="A326" s="23">
        <v>46023</v>
      </c>
      <c r="B326" s="19" t="str">
        <f t="shared" si="16"/>
        <v>enero</v>
      </c>
      <c r="C326" s="19" t="str">
        <f t="shared" si="15"/>
        <v>2026</v>
      </c>
      <c r="D326" s="25" t="s">
        <v>207</v>
      </c>
      <c r="E326" s="25" t="s">
        <v>17</v>
      </c>
      <c r="F326" s="25" t="s">
        <v>179</v>
      </c>
      <c r="G326" s="24">
        <v>800</v>
      </c>
      <c r="H326" s="19" t="str">
        <f>IF(LEN(G326)=0,"",VLOOKUP(G326,Issues!A:D,2,FALSE))</f>
        <v>(800) Politicas especiales operadores</v>
      </c>
      <c r="I326" s="20" t="str">
        <f>IF(LEN(G326)=0,"",VLOOKUP(G326,Issues!A:D,3,FALSE))</f>
        <v>Politicas de los operadores cumplidas.</v>
      </c>
      <c r="J326" s="19" t="str">
        <f>IF(LEN(G326)=0,"",VLOOKUP(G326,Issues!A:D,4,FALSE))</f>
        <v>Prueba OK</v>
      </c>
      <c r="K326" s="21" t="str">
        <f t="shared" si="17"/>
        <v>OK</v>
      </c>
    </row>
    <row r="327" spans="1:11" x14ac:dyDescent="0.35">
      <c r="A327" s="23">
        <v>46070</v>
      </c>
      <c r="B327" s="19" t="str">
        <f t="shared" si="16"/>
        <v>febrero</v>
      </c>
      <c r="C327" s="19" t="str">
        <f t="shared" si="15"/>
        <v>2026</v>
      </c>
      <c r="D327" s="25" t="s">
        <v>208</v>
      </c>
      <c r="E327" s="25" t="s">
        <v>19</v>
      </c>
      <c r="F327" s="25" t="s">
        <v>187</v>
      </c>
      <c r="G327" s="24">
        <v>112</v>
      </c>
      <c r="H327" s="19" t="str">
        <f>IF(LEN(G327)=0,"",VLOOKUP(G327,Issues!A:D,2,FALSE))</f>
        <v>(100)  Alta</v>
      </c>
      <c r="I327" s="20" t="str">
        <f>IF(LEN(G327)=0,"",VLOOKUP(G327,Issues!A:D,3,FALSE))</f>
        <v>Falla en alta a traves de tienda.</v>
      </c>
      <c r="J327" s="19" t="str">
        <f>IF(LEN(G327)=0,"",VLOOKUP(G327,Issues!A:D,4,FALSE))</f>
        <v>Critico</v>
      </c>
      <c r="K327" s="21" t="str">
        <f t="shared" si="17"/>
        <v>Issue</v>
      </c>
    </row>
    <row r="328" spans="1:11" x14ac:dyDescent="0.35">
      <c r="A328" s="23">
        <v>46129</v>
      </c>
      <c r="B328" s="19" t="str">
        <f t="shared" si="16"/>
        <v>abril</v>
      </c>
      <c r="C328" s="19" t="str">
        <f t="shared" si="15"/>
        <v>2026</v>
      </c>
      <c r="D328" s="25" t="s">
        <v>207</v>
      </c>
      <c r="E328" s="25" t="s">
        <v>15</v>
      </c>
      <c r="F328" s="25" t="s">
        <v>174</v>
      </c>
      <c r="G328" s="24">
        <v>700</v>
      </c>
      <c r="H328" s="19" t="str">
        <f>IF(LEN(G328)=0,"",VLOOKUP(G328,Issues!A:D,2,FALSE))</f>
        <v>(700) Interaccion MO/MT (On Demand)</v>
      </c>
      <c r="I328" s="20" t="str">
        <f>IF(LEN(G328)=0,"",VLOOKUP(G328,Issues!A:D,3,FALSE))</f>
        <v>Flujo MO/MT con éxito.</v>
      </c>
      <c r="J328" s="19" t="str">
        <f>IF(LEN(G328)=0,"",VLOOKUP(G328,Issues!A:D,4,FALSE))</f>
        <v>Prueba OK</v>
      </c>
      <c r="K328" s="21" t="str">
        <f t="shared" si="17"/>
        <v>OK</v>
      </c>
    </row>
    <row r="329" spans="1:11" x14ac:dyDescent="0.35">
      <c r="A329" s="23">
        <v>46144</v>
      </c>
      <c r="B329" s="19" t="str">
        <f t="shared" si="16"/>
        <v>mayo</v>
      </c>
      <c r="C329" s="19" t="str">
        <f t="shared" si="15"/>
        <v>2026</v>
      </c>
      <c r="D329" s="25" t="s">
        <v>207</v>
      </c>
      <c r="E329" s="25" t="s">
        <v>17</v>
      </c>
      <c r="F329" s="25" t="s">
        <v>180</v>
      </c>
      <c r="G329" s="24">
        <v>301</v>
      </c>
      <c r="H329" s="19" t="str">
        <f>IF(LEN(G329)=0,"",VLOOKUP(G329,Issues!A:D,2,FALSE))</f>
        <v>(300) Cobros</v>
      </c>
      <c r="I329" s="20" t="str">
        <f>IF(LEN(G329)=0,"",VLOOKUP(G329,Issues!A:D,3,FALSE))</f>
        <v>No llego contenido (si hubo cobro).</v>
      </c>
      <c r="J329" s="19" t="str">
        <f>IF(LEN(G329)=0,"",VLOOKUP(G329,Issues!A:D,4,FALSE))</f>
        <v>Critico</v>
      </c>
      <c r="K329" s="21" t="str">
        <f t="shared" si="17"/>
        <v>Issue</v>
      </c>
    </row>
    <row r="330" spans="1:11" x14ac:dyDescent="0.35">
      <c r="A330" s="23">
        <v>46125</v>
      </c>
      <c r="B330" s="19" t="str">
        <f t="shared" si="16"/>
        <v>abril</v>
      </c>
      <c r="C330" s="19" t="str">
        <f t="shared" si="15"/>
        <v>2026</v>
      </c>
      <c r="D330" s="25" t="s">
        <v>207</v>
      </c>
      <c r="E330" s="25" t="s">
        <v>24</v>
      </c>
      <c r="F330" s="25" t="s">
        <v>159</v>
      </c>
      <c r="G330" s="24">
        <v>700</v>
      </c>
      <c r="H330" s="19" t="str">
        <f>IF(LEN(G330)=0,"",VLOOKUP(G330,Issues!A:D,2,FALSE))</f>
        <v>(700) Interaccion MO/MT (On Demand)</v>
      </c>
      <c r="I330" s="20" t="str">
        <f>IF(LEN(G330)=0,"",VLOOKUP(G330,Issues!A:D,3,FALSE))</f>
        <v>Flujo MO/MT con éxito.</v>
      </c>
      <c r="J330" s="19" t="str">
        <f>IF(LEN(G330)=0,"",VLOOKUP(G330,Issues!A:D,4,FALSE))</f>
        <v>Prueba OK</v>
      </c>
      <c r="K330" s="21" t="str">
        <f t="shared" si="17"/>
        <v>OK</v>
      </c>
    </row>
    <row r="331" spans="1:11" x14ac:dyDescent="0.35">
      <c r="A331" s="23">
        <v>46141</v>
      </c>
      <c r="B331" s="19" t="str">
        <f t="shared" si="16"/>
        <v>abril</v>
      </c>
      <c r="C331" s="19" t="str">
        <f t="shared" si="15"/>
        <v>2026</v>
      </c>
      <c r="D331" s="25" t="s">
        <v>206</v>
      </c>
      <c r="E331" s="25" t="s">
        <v>20</v>
      </c>
      <c r="F331" s="25" t="s">
        <v>190</v>
      </c>
      <c r="G331" s="24">
        <v>111</v>
      </c>
      <c r="H331" s="19" t="str">
        <f>IF(LEN(G331)=0,"",VLOOKUP(G331,Issues!A:D,2,FALSE))</f>
        <v>(100)  Alta</v>
      </c>
      <c r="I331" s="20" t="str">
        <f>IF(LEN(G331)=0,"",VLOOKUP(G331,Issues!A:D,3,FALSE))</f>
        <v>Falla en alta a traves de sim.</v>
      </c>
      <c r="J331" s="19" t="str">
        <f>IF(LEN(G331)=0,"",VLOOKUP(G331,Issues!A:D,4,FALSE))</f>
        <v>Critico</v>
      </c>
      <c r="K331" s="21" t="str">
        <f t="shared" si="17"/>
        <v>Issue</v>
      </c>
    </row>
    <row r="332" spans="1:11" x14ac:dyDescent="0.35">
      <c r="A332" s="23">
        <v>46083</v>
      </c>
      <c r="B332" s="19" t="str">
        <f t="shared" si="16"/>
        <v>marzo</v>
      </c>
      <c r="C332" s="19" t="str">
        <f t="shared" si="15"/>
        <v>2026</v>
      </c>
      <c r="D332" s="25" t="s">
        <v>206</v>
      </c>
      <c r="E332" s="25" t="s">
        <v>21</v>
      </c>
      <c r="F332" s="25" t="s">
        <v>192</v>
      </c>
      <c r="G332" s="24">
        <v>400</v>
      </c>
      <c r="H332" s="19" t="str">
        <f>IF(LEN(G332)=0,"",VLOOKUP(G332,Issues!A:D,2,FALSE))</f>
        <v>(400) Portales / Web-App</v>
      </c>
      <c r="I332" s="20" t="str">
        <f>IF(LEN(G332)=0,"",VLOOKUP(G332,Issues!A:D,3,FALSE))</f>
        <v>Portal evaluado con éxito.</v>
      </c>
      <c r="J332" s="19" t="str">
        <f>IF(LEN(G332)=0,"",VLOOKUP(G332,Issues!A:D,4,FALSE))</f>
        <v>Prueba OK</v>
      </c>
      <c r="K332" s="21" t="str">
        <f t="shared" si="17"/>
        <v>OK</v>
      </c>
    </row>
    <row r="333" spans="1:11" x14ac:dyDescent="0.35">
      <c r="A333" s="23">
        <v>46146</v>
      </c>
      <c r="B333" s="19" t="str">
        <f t="shared" si="16"/>
        <v>mayo</v>
      </c>
      <c r="C333" s="19" t="str">
        <f t="shared" si="15"/>
        <v>2026</v>
      </c>
      <c r="D333" s="25" t="s">
        <v>207</v>
      </c>
      <c r="E333" s="25" t="s">
        <v>19</v>
      </c>
      <c r="F333" s="25" t="s">
        <v>187</v>
      </c>
      <c r="G333" s="24">
        <v>307</v>
      </c>
      <c r="H333" s="19" t="str">
        <f>IF(LEN(G333)=0,"",VLOOKUP(G333,Issues!A:D,2,FALSE))</f>
        <v>(300) Cobros</v>
      </c>
      <c r="I333" s="20" t="str">
        <f>IF(LEN(G333)=0,"",VLOOKUP(G333,Issues!A:D,3,FALSE))</f>
        <v>Inconsistencias con el cobro escalonado.</v>
      </c>
      <c r="J333" s="19" t="str">
        <f>IF(LEN(G333)=0,"",VLOOKUP(G333,Issues!A:D,4,FALSE))</f>
        <v>Critico</v>
      </c>
      <c r="K333" s="21" t="str">
        <f t="shared" si="17"/>
        <v>Issue</v>
      </c>
    </row>
    <row r="334" spans="1:11" x14ac:dyDescent="0.35">
      <c r="A334" s="23">
        <v>46086</v>
      </c>
      <c r="B334" s="19" t="str">
        <f t="shared" si="16"/>
        <v>marzo</v>
      </c>
      <c r="C334" s="19" t="str">
        <f t="shared" si="15"/>
        <v>2026</v>
      </c>
      <c r="D334" s="25" t="s">
        <v>207</v>
      </c>
      <c r="E334" s="25" t="s">
        <v>19</v>
      </c>
      <c r="F334" s="25" t="s">
        <v>186</v>
      </c>
      <c r="G334" s="24">
        <v>102</v>
      </c>
      <c r="H334" s="19" t="str">
        <f>IF(LEN(G334)=0,"",VLOOKUP(G334,Issues!A:D,2,FALSE))</f>
        <v>(100)  Alta</v>
      </c>
      <c r="I334" s="20" t="str">
        <f>IF(LEN(G334)=0,"",VLOOKUP(G334,Issues!A:D,3,FALSE))</f>
        <v>Falla en doble optin en sms.</v>
      </c>
      <c r="J334" s="19" t="str">
        <f>IF(LEN(G334)=0,"",VLOOKUP(G334,Issues!A:D,4,FALSE))</f>
        <v>Critico</v>
      </c>
      <c r="K334" s="21" t="str">
        <f t="shared" si="17"/>
        <v>Issue</v>
      </c>
    </row>
    <row r="335" spans="1:11" x14ac:dyDescent="0.35">
      <c r="A335" s="23">
        <v>46080</v>
      </c>
      <c r="B335" s="19" t="str">
        <f t="shared" si="16"/>
        <v>febrero</v>
      </c>
      <c r="C335" s="19" t="str">
        <f t="shared" si="15"/>
        <v>2026</v>
      </c>
      <c r="D335" s="25" t="s">
        <v>207</v>
      </c>
      <c r="E335" s="25" t="s">
        <v>15</v>
      </c>
      <c r="F335" s="25" t="s">
        <v>173</v>
      </c>
      <c r="G335" s="24">
        <v>200</v>
      </c>
      <c r="H335" s="19" t="str">
        <f>IF(LEN(G335)=0,"",VLOOKUP(G335,Issues!A:D,2,FALSE))</f>
        <v>(200) Contenidos</v>
      </c>
      <c r="I335" s="20" t="str">
        <f>IF(LEN(G335)=0,"",VLOOKUP(G335,Issues!A:D,3,FALSE))</f>
        <v>Contenidos recibido con éxito.</v>
      </c>
      <c r="J335" s="19" t="str">
        <f>IF(LEN(G335)=0,"",VLOOKUP(G335,Issues!A:D,4,FALSE))</f>
        <v>Prueba OK</v>
      </c>
      <c r="K335" s="21" t="str">
        <f t="shared" si="17"/>
        <v>OK</v>
      </c>
    </row>
    <row r="336" spans="1:11" x14ac:dyDescent="0.35">
      <c r="A336" s="23">
        <v>46025</v>
      </c>
      <c r="B336" s="19" t="str">
        <f t="shared" si="16"/>
        <v>enero</v>
      </c>
      <c r="C336" s="19" t="str">
        <f t="shared" si="15"/>
        <v>2026</v>
      </c>
      <c r="D336" s="25" t="s">
        <v>208</v>
      </c>
      <c r="E336" s="25" t="s">
        <v>11</v>
      </c>
      <c r="F336" s="25" t="s">
        <v>166</v>
      </c>
      <c r="G336" s="24">
        <v>200</v>
      </c>
      <c r="H336" s="19" t="str">
        <f>IF(LEN(G336)=0,"",VLOOKUP(G336,Issues!A:D,2,FALSE))</f>
        <v>(200) Contenidos</v>
      </c>
      <c r="I336" s="20" t="str">
        <f>IF(LEN(G336)=0,"",VLOOKUP(G336,Issues!A:D,3,FALSE))</f>
        <v>Contenidos recibido con éxito.</v>
      </c>
      <c r="J336" s="19" t="str">
        <f>IF(LEN(G336)=0,"",VLOOKUP(G336,Issues!A:D,4,FALSE))</f>
        <v>Prueba OK</v>
      </c>
      <c r="K336" s="21" t="str">
        <f t="shared" si="17"/>
        <v>OK</v>
      </c>
    </row>
    <row r="337" spans="1:11" x14ac:dyDescent="0.35">
      <c r="A337" s="23">
        <v>46052</v>
      </c>
      <c r="B337" s="19" t="str">
        <f t="shared" si="16"/>
        <v>enero</v>
      </c>
      <c r="C337" s="19" t="str">
        <f t="shared" si="15"/>
        <v>2026</v>
      </c>
      <c r="D337" s="25" t="s">
        <v>209</v>
      </c>
      <c r="E337" s="25" t="s">
        <v>10</v>
      </c>
      <c r="F337" s="25" t="s">
        <v>162</v>
      </c>
      <c r="G337" s="24">
        <v>111</v>
      </c>
      <c r="H337" s="19" t="str">
        <f>IF(LEN(G337)=0,"",VLOOKUP(G337,Issues!A:D,2,FALSE))</f>
        <v>(100)  Alta</v>
      </c>
      <c r="I337" s="20" t="str">
        <f>IF(LEN(G337)=0,"",VLOOKUP(G337,Issues!A:D,3,FALSE))</f>
        <v>Falla en alta a traves de sim.</v>
      </c>
      <c r="J337" s="19" t="str">
        <f>IF(LEN(G337)=0,"",VLOOKUP(G337,Issues!A:D,4,FALSE))</f>
        <v>Critico</v>
      </c>
      <c r="K337" s="21" t="str">
        <f t="shared" si="17"/>
        <v>Issue</v>
      </c>
    </row>
    <row r="338" spans="1:11" x14ac:dyDescent="0.35">
      <c r="A338" s="23">
        <v>46070</v>
      </c>
      <c r="B338" s="19" t="str">
        <f t="shared" si="16"/>
        <v>febrero</v>
      </c>
      <c r="C338" s="19" t="str">
        <f t="shared" si="15"/>
        <v>2026</v>
      </c>
      <c r="D338" s="25" t="s">
        <v>208</v>
      </c>
      <c r="E338" s="25" t="s">
        <v>26</v>
      </c>
      <c r="F338" s="25" t="s">
        <v>152</v>
      </c>
      <c r="G338" s="24">
        <v>409</v>
      </c>
      <c r="H338" s="19" t="str">
        <f>IF(LEN(G338)=0,"",VLOOKUP(G338,Issues!A:D,2,FALSE))</f>
        <v>(400) Portales / Web-App</v>
      </c>
      <c r="I338" s="20" t="str">
        <f>IF(LEN(G338)=0,"",VLOOKUP(G338,Issues!A:D,3,FALSE))</f>
        <v>409 no cumple con caracteristicas de diseño responsive.</v>
      </c>
      <c r="J338" s="19" t="str">
        <f>IF(LEN(G338)=0,"",VLOOKUP(G338,Issues!A:D,4,FALSE))</f>
        <v>Critico</v>
      </c>
      <c r="K338" s="21" t="str">
        <f t="shared" si="17"/>
        <v>Issue</v>
      </c>
    </row>
    <row r="339" spans="1:11" x14ac:dyDescent="0.35">
      <c r="A339" s="23">
        <v>46028</v>
      </c>
      <c r="B339" s="19" t="str">
        <f t="shared" si="16"/>
        <v>enero</v>
      </c>
      <c r="C339" s="19" t="str">
        <f t="shared" ref="C339:C402" si="18">IF(LEN(A339)=0,"",TEXT(A339,"aaaa"))</f>
        <v>2026</v>
      </c>
      <c r="D339" s="25" t="s">
        <v>207</v>
      </c>
      <c r="E339" s="25" t="s">
        <v>16</v>
      </c>
      <c r="F339" s="25" t="s">
        <v>176</v>
      </c>
      <c r="G339" s="24">
        <v>800</v>
      </c>
      <c r="H339" s="19" t="str">
        <f>IF(LEN(G339)=0,"",VLOOKUP(G339,Issues!A:D,2,FALSE))</f>
        <v>(800) Politicas especiales operadores</v>
      </c>
      <c r="I339" s="20" t="str">
        <f>IF(LEN(G339)=0,"",VLOOKUP(G339,Issues!A:D,3,FALSE))</f>
        <v>Politicas de los operadores cumplidas.</v>
      </c>
      <c r="J339" s="19" t="str">
        <f>IF(LEN(G339)=0,"",VLOOKUP(G339,Issues!A:D,4,FALSE))</f>
        <v>Prueba OK</v>
      </c>
      <c r="K339" s="21" t="str">
        <f t="shared" si="17"/>
        <v>OK</v>
      </c>
    </row>
    <row r="340" spans="1:11" x14ac:dyDescent="0.35">
      <c r="A340" s="23">
        <v>46110</v>
      </c>
      <c r="B340" s="19" t="str">
        <f t="shared" si="16"/>
        <v>marzo</v>
      </c>
      <c r="C340" s="19" t="str">
        <f t="shared" si="18"/>
        <v>2026</v>
      </c>
      <c r="D340" s="25" t="s">
        <v>206</v>
      </c>
      <c r="E340" s="25" t="s">
        <v>14</v>
      </c>
      <c r="F340" s="25" t="s">
        <v>172</v>
      </c>
      <c r="G340" s="24">
        <v>107</v>
      </c>
      <c r="H340" s="19" t="str">
        <f>IF(LEN(G340)=0,"",VLOOKUP(G340,Issues!A:D,2,FALSE))</f>
        <v>(100)  Alta</v>
      </c>
      <c r="I340" s="20" t="str">
        <f>IF(LEN(G340)=0,"",VLOOKUP(G340,Issues!A:D,3,FALSE))</f>
        <v>Falla en lp de suscripción wap - header enrichment.</v>
      </c>
      <c r="J340" s="19" t="str">
        <f>IF(LEN(G340)=0,"",VLOOKUP(G340,Issues!A:D,4,FALSE))</f>
        <v>Critico</v>
      </c>
      <c r="K340" s="21" t="str">
        <f t="shared" si="17"/>
        <v>Issue</v>
      </c>
    </row>
    <row r="341" spans="1:11" x14ac:dyDescent="0.35">
      <c r="A341" s="23">
        <v>46100</v>
      </c>
      <c r="B341" s="19" t="str">
        <f t="shared" si="16"/>
        <v>marzo</v>
      </c>
      <c r="C341" s="19" t="str">
        <f t="shared" si="18"/>
        <v>2026</v>
      </c>
      <c r="D341" s="25" t="s">
        <v>210</v>
      </c>
      <c r="E341" s="25" t="s">
        <v>23</v>
      </c>
      <c r="F341" s="25" t="s">
        <v>194</v>
      </c>
      <c r="G341" s="24">
        <v>207</v>
      </c>
      <c r="H341" s="19" t="str">
        <f>IF(LEN(G341)=0,"",VLOOKUP(G341,Issues!A:D,2,FALSE))</f>
        <v>(200) Contenidos</v>
      </c>
      <c r="I341" s="20" t="str">
        <f>IF(LEN(G341)=0,"",VLOOKUP(G341,Issues!A:D,3,FALSE))</f>
        <v>Contenido repetido.</v>
      </c>
      <c r="J341" s="19" t="str">
        <f>IF(LEN(G341)=0,"",VLOOKUP(G341,Issues!A:D,4,FALSE))</f>
        <v>Medio</v>
      </c>
      <c r="K341" s="21" t="str">
        <f t="shared" si="17"/>
        <v>Issue</v>
      </c>
    </row>
    <row r="342" spans="1:11" x14ac:dyDescent="0.35">
      <c r="A342" s="23">
        <v>46095</v>
      </c>
      <c r="B342" s="19" t="str">
        <f t="shared" si="16"/>
        <v>marzo</v>
      </c>
      <c r="C342" s="19" t="str">
        <f t="shared" si="18"/>
        <v>2026</v>
      </c>
      <c r="D342" s="25" t="s">
        <v>207</v>
      </c>
      <c r="E342" s="25" t="s">
        <v>21</v>
      </c>
      <c r="F342" s="25" t="s">
        <v>193</v>
      </c>
      <c r="G342" s="24">
        <v>400</v>
      </c>
      <c r="H342" s="19" t="str">
        <f>IF(LEN(G342)=0,"",VLOOKUP(G342,Issues!A:D,2,FALSE))</f>
        <v>(400) Portales / Web-App</v>
      </c>
      <c r="I342" s="20" t="str">
        <f>IF(LEN(G342)=0,"",VLOOKUP(G342,Issues!A:D,3,FALSE))</f>
        <v>Portal evaluado con éxito.</v>
      </c>
      <c r="J342" s="19" t="str">
        <f>IF(LEN(G342)=0,"",VLOOKUP(G342,Issues!A:D,4,FALSE))</f>
        <v>Prueba OK</v>
      </c>
      <c r="K342" s="21" t="str">
        <f t="shared" si="17"/>
        <v>OK</v>
      </c>
    </row>
    <row r="343" spans="1:11" x14ac:dyDescent="0.35">
      <c r="A343" s="23">
        <v>46073</v>
      </c>
      <c r="B343" s="19" t="str">
        <f t="shared" si="16"/>
        <v>febrero</v>
      </c>
      <c r="C343" s="19" t="str">
        <f t="shared" si="18"/>
        <v>2026</v>
      </c>
      <c r="D343" s="25" t="s">
        <v>207</v>
      </c>
      <c r="E343" s="25" t="s">
        <v>27</v>
      </c>
      <c r="F343" s="25" t="s">
        <v>202</v>
      </c>
      <c r="G343" s="24">
        <v>100</v>
      </c>
      <c r="H343" s="19" t="str">
        <f>IF(LEN(G343)=0,"",VLOOKUP(G343,Issues!A:D,2,FALSE))</f>
        <v>(100)  Alta</v>
      </c>
      <c r="I343" s="20" t="str">
        <f>IF(LEN(G343)=0,"",VLOOKUP(G343,Issues!A:D,3,FALSE))</f>
        <v>Alta con éxito.</v>
      </c>
      <c r="J343" s="19" t="str">
        <f>IF(LEN(G343)=0,"",VLOOKUP(G343,Issues!A:D,4,FALSE))</f>
        <v>Prueba OK</v>
      </c>
      <c r="K343" s="21" t="str">
        <f t="shared" si="17"/>
        <v>OK</v>
      </c>
    </row>
    <row r="344" spans="1:11" x14ac:dyDescent="0.35">
      <c r="A344" s="23">
        <v>46047</v>
      </c>
      <c r="B344" s="19" t="str">
        <f t="shared" si="16"/>
        <v>enero</v>
      </c>
      <c r="C344" s="19" t="str">
        <f t="shared" si="18"/>
        <v>2026</v>
      </c>
      <c r="D344" s="25" t="s">
        <v>206</v>
      </c>
      <c r="E344" s="25" t="s">
        <v>24</v>
      </c>
      <c r="F344" s="25" t="s">
        <v>155</v>
      </c>
      <c r="G344" s="24">
        <v>200</v>
      </c>
      <c r="H344" s="19" t="str">
        <f>IF(LEN(G344)=0,"",VLOOKUP(G344,Issues!A:D,2,FALSE))</f>
        <v>(200) Contenidos</v>
      </c>
      <c r="I344" s="20" t="str">
        <f>IF(LEN(G344)=0,"",VLOOKUP(G344,Issues!A:D,3,FALSE))</f>
        <v>Contenidos recibido con éxito.</v>
      </c>
      <c r="J344" s="19" t="str">
        <f>IF(LEN(G344)=0,"",VLOOKUP(G344,Issues!A:D,4,FALSE))</f>
        <v>Prueba OK</v>
      </c>
      <c r="K344" s="21" t="str">
        <f t="shared" si="17"/>
        <v>OK</v>
      </c>
    </row>
    <row r="345" spans="1:11" x14ac:dyDescent="0.35">
      <c r="A345" s="23">
        <v>46151</v>
      </c>
      <c r="B345" s="19" t="str">
        <f t="shared" si="16"/>
        <v>mayo</v>
      </c>
      <c r="C345" s="19" t="str">
        <f t="shared" si="18"/>
        <v>2026</v>
      </c>
      <c r="D345" s="25" t="s">
        <v>206</v>
      </c>
      <c r="E345" s="25" t="s">
        <v>11</v>
      </c>
      <c r="F345" s="25" t="s">
        <v>166</v>
      </c>
      <c r="G345" s="24">
        <v>305</v>
      </c>
      <c r="H345" s="19" t="str">
        <f>IF(LEN(G345)=0,"",VLOOKUP(G345,Issues!A:D,2,FALSE))</f>
        <v>(300) Cobros</v>
      </c>
      <c r="I345" s="20" t="str">
        <f>IF(LEN(G345)=0,"",VLOOKUP(G345,Issues!A:D,3,FALSE))</f>
        <v>Cobro doble vez.</v>
      </c>
      <c r="J345" s="19" t="str">
        <f>IF(LEN(G345)=0,"",VLOOKUP(G345,Issues!A:D,4,FALSE))</f>
        <v>Critico</v>
      </c>
      <c r="K345" s="21" t="str">
        <f t="shared" si="17"/>
        <v>Issue</v>
      </c>
    </row>
    <row r="346" spans="1:11" x14ac:dyDescent="0.35">
      <c r="A346" s="23">
        <v>46120</v>
      </c>
      <c r="B346" s="19" t="str">
        <f t="shared" si="16"/>
        <v>abril</v>
      </c>
      <c r="C346" s="19" t="str">
        <f t="shared" si="18"/>
        <v>2026</v>
      </c>
      <c r="D346" s="25" t="s">
        <v>207</v>
      </c>
      <c r="E346" s="25" t="s">
        <v>12</v>
      </c>
      <c r="F346" s="25" t="s">
        <v>167</v>
      </c>
      <c r="G346" s="24">
        <v>400</v>
      </c>
      <c r="H346" s="19" t="str">
        <f>IF(LEN(G346)=0,"",VLOOKUP(G346,Issues!A:D,2,FALSE))</f>
        <v>(400) Portales / Web-App</v>
      </c>
      <c r="I346" s="20" t="str">
        <f>IF(LEN(G346)=0,"",VLOOKUP(G346,Issues!A:D,3,FALSE))</f>
        <v>Portal evaluado con éxito.</v>
      </c>
      <c r="J346" s="19" t="str">
        <f>IF(LEN(G346)=0,"",VLOOKUP(G346,Issues!A:D,4,FALSE))</f>
        <v>Prueba OK</v>
      </c>
      <c r="K346" s="21" t="str">
        <f t="shared" si="17"/>
        <v>OK</v>
      </c>
    </row>
    <row r="347" spans="1:11" x14ac:dyDescent="0.35">
      <c r="A347" s="23">
        <v>46053</v>
      </c>
      <c r="B347" s="19" t="str">
        <f t="shared" si="16"/>
        <v>enero</v>
      </c>
      <c r="C347" s="19" t="str">
        <f t="shared" si="18"/>
        <v>2026</v>
      </c>
      <c r="D347" s="25" t="s">
        <v>207</v>
      </c>
      <c r="E347" s="25" t="s">
        <v>20</v>
      </c>
      <c r="F347" s="25" t="s">
        <v>190</v>
      </c>
      <c r="G347" s="24">
        <v>204</v>
      </c>
      <c r="H347" s="19" t="str">
        <f>IF(LEN(G347)=0,"",VLOOKUP(G347,Issues!A:D,2,FALSE))</f>
        <v>(200) Contenidos</v>
      </c>
      <c r="I347" s="20" t="str">
        <f>IF(LEN(G347)=0,"",VLOOKUP(G347,Issues!A:D,3,FALSE))</f>
        <v>Error/inconsistencia en t&amp;c en sms.</v>
      </c>
      <c r="J347" s="19" t="str">
        <f>IF(LEN(G347)=0,"",VLOOKUP(G347,Issues!A:D,4,FALSE))</f>
        <v>Critico</v>
      </c>
      <c r="K347" s="21" t="str">
        <f t="shared" si="17"/>
        <v>Issue</v>
      </c>
    </row>
    <row r="348" spans="1:11" x14ac:dyDescent="0.35">
      <c r="A348" s="23">
        <v>46157</v>
      </c>
      <c r="B348" s="19" t="str">
        <f t="shared" si="16"/>
        <v>mayo</v>
      </c>
      <c r="C348" s="19" t="str">
        <f t="shared" si="18"/>
        <v>2026</v>
      </c>
      <c r="D348" s="25" t="s">
        <v>208</v>
      </c>
      <c r="E348" s="25" t="s">
        <v>11</v>
      </c>
      <c r="F348" s="25" t="s">
        <v>166</v>
      </c>
      <c r="G348" s="24">
        <v>705</v>
      </c>
      <c r="H348" s="19" t="str">
        <f>IF(LEN(G348)=0,"",VLOOKUP(G348,Issues!A:D,2,FALSE))</f>
        <v>(700) Interaccion MO/MT (On Demand)</v>
      </c>
      <c r="I348" s="20" t="str">
        <f>IF(LEN(G348)=0,"",VLOOKUP(G348,Issues!A:D,3,FALSE))</f>
        <v>No funcionan los kw´s especiales (info, puntaje, ayuda, etc).</v>
      </c>
      <c r="J348" s="19" t="str">
        <f>IF(LEN(G348)=0,"",VLOOKUP(G348,Issues!A:D,4,FALSE))</f>
        <v>Medio</v>
      </c>
      <c r="K348" s="21" t="str">
        <f t="shared" si="17"/>
        <v>Issue</v>
      </c>
    </row>
    <row r="349" spans="1:11" x14ac:dyDescent="0.35">
      <c r="A349" s="23">
        <v>46077</v>
      </c>
      <c r="B349" s="19" t="str">
        <f t="shared" si="16"/>
        <v>febrero</v>
      </c>
      <c r="C349" s="19" t="str">
        <f t="shared" si="18"/>
        <v>2026</v>
      </c>
      <c r="D349" s="25" t="s">
        <v>207</v>
      </c>
      <c r="E349" s="25" t="s">
        <v>15</v>
      </c>
      <c r="F349" s="25" t="s">
        <v>174</v>
      </c>
      <c r="G349" s="24">
        <v>506</v>
      </c>
      <c r="H349" s="19" t="str">
        <f>IF(LEN(G349)=0,"",VLOOKUP(G349,Issues!A:D,2,FALSE))</f>
        <v>(500) Baja / Cancelacion</v>
      </c>
      <c r="I349" s="20" t="str">
        <f>IF(LEN(G349)=0,"",VLOOKUP(G349,Issues!A:D,3,FALSE))</f>
        <v>No funciona la baja desde ivr.</v>
      </c>
      <c r="J349" s="19" t="str">
        <f>IF(LEN(G349)=0,"",VLOOKUP(G349,Issues!A:D,4,FALSE))</f>
        <v>Critico</v>
      </c>
      <c r="K349" s="21" t="str">
        <f t="shared" si="17"/>
        <v>Issue</v>
      </c>
    </row>
    <row r="350" spans="1:11" x14ac:dyDescent="0.35">
      <c r="A350" s="23">
        <v>46121</v>
      </c>
      <c r="B350" s="19" t="str">
        <f t="shared" si="16"/>
        <v>abril</v>
      </c>
      <c r="C350" s="19" t="str">
        <f t="shared" si="18"/>
        <v>2026</v>
      </c>
      <c r="D350" s="25" t="s">
        <v>206</v>
      </c>
      <c r="E350" s="25" t="s">
        <v>22</v>
      </c>
      <c r="F350" s="25" t="s">
        <v>154</v>
      </c>
      <c r="G350" s="24">
        <v>308</v>
      </c>
      <c r="H350" s="19" t="str">
        <f>IF(LEN(G350)=0,"",VLOOKUP(G350,Issues!A:D,2,FALSE))</f>
        <v>(300) Cobros</v>
      </c>
      <c r="I350" s="20" t="str">
        <f>IF(LEN(G350)=0,"",VLOOKUP(G350,Issues!A:D,3,FALSE))</f>
        <v>No entrega confirmacion de cobro.</v>
      </c>
      <c r="J350" s="19" t="str">
        <f>IF(LEN(G350)=0,"",VLOOKUP(G350,Issues!A:D,4,FALSE))</f>
        <v>Critico</v>
      </c>
      <c r="K350" s="21" t="str">
        <f t="shared" si="17"/>
        <v>Issue</v>
      </c>
    </row>
    <row r="351" spans="1:11" x14ac:dyDescent="0.35">
      <c r="A351" s="23">
        <v>46153</v>
      </c>
      <c r="B351" s="19" t="str">
        <f t="shared" si="16"/>
        <v>mayo</v>
      </c>
      <c r="C351" s="19" t="str">
        <f t="shared" si="18"/>
        <v>2026</v>
      </c>
      <c r="D351" s="25" t="s">
        <v>207</v>
      </c>
      <c r="E351" s="25" t="s">
        <v>20</v>
      </c>
      <c r="F351" s="25" t="s">
        <v>188</v>
      </c>
      <c r="G351" s="24">
        <v>401</v>
      </c>
      <c r="H351" s="19" t="str">
        <f>IF(LEN(G351)=0,"",VLOOKUP(G351,Issues!A:D,2,FALSE))</f>
        <v>(400) Portales / Web-App</v>
      </c>
      <c r="I351" s="20" t="str">
        <f>IF(LEN(G351)=0,"",VLOOKUP(G351,Issues!A:D,3,FALSE))</f>
        <v>Problemas con las credenciales y acceso a portal / web-app.</v>
      </c>
      <c r="J351" s="19" t="str">
        <f>IF(LEN(G351)=0,"",VLOOKUP(G351,Issues!A:D,4,FALSE))</f>
        <v>Critico</v>
      </c>
      <c r="K351" s="21" t="str">
        <f t="shared" si="17"/>
        <v>Issue</v>
      </c>
    </row>
    <row r="352" spans="1:11" x14ac:dyDescent="0.35">
      <c r="A352" s="23">
        <v>46150</v>
      </c>
      <c r="B352" s="19" t="str">
        <f t="shared" si="16"/>
        <v>mayo</v>
      </c>
      <c r="C352" s="19" t="str">
        <f t="shared" si="18"/>
        <v>2026</v>
      </c>
      <c r="D352" s="25" t="s">
        <v>207</v>
      </c>
      <c r="E352" s="25" t="s">
        <v>20</v>
      </c>
      <c r="F352" s="25" t="s">
        <v>189</v>
      </c>
      <c r="G352" s="24">
        <v>406</v>
      </c>
      <c r="H352" s="19" t="str">
        <f>IF(LEN(G352)=0,"",VLOOKUP(G352,Issues!A:D,2,FALSE))</f>
        <v>(400) Portales / Web-App</v>
      </c>
      <c r="I352" s="20" t="str">
        <f>IF(LEN(G352)=0,"",VLOOKUP(G352,Issues!A:D,3,FALSE))</f>
        <v>No descarga contenidos - problemas con la descarga.</v>
      </c>
      <c r="J352" s="19" t="str">
        <f>IF(LEN(G352)=0,"",VLOOKUP(G352,Issues!A:D,4,FALSE))</f>
        <v>Critico</v>
      </c>
      <c r="K352" s="21" t="str">
        <f t="shared" si="17"/>
        <v>Issue</v>
      </c>
    </row>
    <row r="353" spans="1:11" x14ac:dyDescent="0.35">
      <c r="A353" s="23">
        <v>46029</v>
      </c>
      <c r="B353" s="19" t="str">
        <f t="shared" si="16"/>
        <v>enero</v>
      </c>
      <c r="C353" s="19" t="str">
        <f t="shared" si="18"/>
        <v>2026</v>
      </c>
      <c r="D353" s="25" t="s">
        <v>208</v>
      </c>
      <c r="E353" s="25" t="s">
        <v>24</v>
      </c>
      <c r="F353" s="25" t="s">
        <v>151</v>
      </c>
      <c r="G353" s="24">
        <v>205</v>
      </c>
      <c r="H353" s="19" t="str">
        <f>IF(LEN(G353)=0,"",VLOOKUP(G353,Issues!A:D,2,FALSE))</f>
        <v>(200) Contenidos</v>
      </c>
      <c r="I353" s="20" t="str">
        <f>IF(LEN(G353)=0,"",VLOOKUP(G353,Issues!A:D,3,FALSE))</f>
        <v>Llego contenido de otro club.</v>
      </c>
      <c r="J353" s="19" t="str">
        <f>IF(LEN(G353)=0,"",VLOOKUP(G353,Issues!A:D,4,FALSE))</f>
        <v>Critico</v>
      </c>
      <c r="K353" s="21" t="str">
        <f t="shared" si="17"/>
        <v>Issue</v>
      </c>
    </row>
    <row r="354" spans="1:11" x14ac:dyDescent="0.35">
      <c r="A354" s="23">
        <v>46092</v>
      </c>
      <c r="B354" s="19" t="str">
        <f t="shared" si="16"/>
        <v>marzo</v>
      </c>
      <c r="C354" s="19" t="str">
        <f t="shared" si="18"/>
        <v>2026</v>
      </c>
      <c r="D354" s="25" t="s">
        <v>208</v>
      </c>
      <c r="E354" s="25" t="s">
        <v>26</v>
      </c>
      <c r="F354" s="25" t="s">
        <v>152</v>
      </c>
      <c r="G354" s="24">
        <v>400</v>
      </c>
      <c r="H354" s="19" t="str">
        <f>IF(LEN(G354)=0,"",VLOOKUP(G354,Issues!A:D,2,FALSE))</f>
        <v>(400) Portales / Web-App</v>
      </c>
      <c r="I354" s="20" t="str">
        <f>IF(LEN(G354)=0,"",VLOOKUP(G354,Issues!A:D,3,FALSE))</f>
        <v>Portal evaluado con éxito.</v>
      </c>
      <c r="J354" s="19" t="str">
        <f>IF(LEN(G354)=0,"",VLOOKUP(G354,Issues!A:D,4,FALSE))</f>
        <v>Prueba OK</v>
      </c>
      <c r="K354" s="21" t="str">
        <f t="shared" si="17"/>
        <v>OK</v>
      </c>
    </row>
    <row r="355" spans="1:11" x14ac:dyDescent="0.35">
      <c r="A355" s="23">
        <v>46070</v>
      </c>
      <c r="B355" s="19" t="str">
        <f t="shared" si="16"/>
        <v>febrero</v>
      </c>
      <c r="C355" s="19" t="str">
        <f t="shared" si="18"/>
        <v>2026</v>
      </c>
      <c r="D355" s="25" t="s">
        <v>207</v>
      </c>
      <c r="E355" s="25" t="s">
        <v>18</v>
      </c>
      <c r="F355" s="25" t="s">
        <v>182</v>
      </c>
      <c r="G355" s="24">
        <v>108</v>
      </c>
      <c r="H355" s="19" t="str">
        <f>IF(LEN(G355)=0,"",VLOOKUP(G355,Issues!A:D,2,FALSE))</f>
        <v>(100)  Alta</v>
      </c>
      <c r="I355" s="20" t="str">
        <f>IF(LEN(G355)=0,"",VLOOKUP(G355,Issues!A:D,3,FALSE))</f>
        <v>Inconsistencias en t&amp;c en la lp.</v>
      </c>
      <c r="J355" s="19" t="str">
        <f>IF(LEN(G355)=0,"",VLOOKUP(G355,Issues!A:D,4,FALSE))</f>
        <v>Critico</v>
      </c>
      <c r="K355" s="21" t="str">
        <f t="shared" si="17"/>
        <v>Issue</v>
      </c>
    </row>
    <row r="356" spans="1:11" x14ac:dyDescent="0.35">
      <c r="A356" s="23">
        <v>46149</v>
      </c>
      <c r="B356" s="19" t="str">
        <f t="shared" si="16"/>
        <v>mayo</v>
      </c>
      <c r="C356" s="19" t="str">
        <f t="shared" si="18"/>
        <v>2026</v>
      </c>
      <c r="D356" s="25" t="s">
        <v>208</v>
      </c>
      <c r="E356" s="25" t="s">
        <v>19</v>
      </c>
      <c r="F356" s="25" t="s">
        <v>187</v>
      </c>
      <c r="G356" s="24">
        <v>308</v>
      </c>
      <c r="H356" s="19" t="str">
        <f>IF(LEN(G356)=0,"",VLOOKUP(G356,Issues!A:D,2,FALSE))</f>
        <v>(300) Cobros</v>
      </c>
      <c r="I356" s="20" t="str">
        <f>IF(LEN(G356)=0,"",VLOOKUP(G356,Issues!A:D,3,FALSE))</f>
        <v>No entrega confirmacion de cobro.</v>
      </c>
      <c r="J356" s="19" t="str">
        <f>IF(LEN(G356)=0,"",VLOOKUP(G356,Issues!A:D,4,FALSE))</f>
        <v>Critico</v>
      </c>
      <c r="K356" s="21" t="str">
        <f t="shared" si="17"/>
        <v>Issue</v>
      </c>
    </row>
    <row r="357" spans="1:11" x14ac:dyDescent="0.35">
      <c r="A357" s="23">
        <v>46072</v>
      </c>
      <c r="B357" s="19" t="str">
        <f t="shared" si="16"/>
        <v>febrero</v>
      </c>
      <c r="C357" s="19" t="str">
        <f t="shared" si="18"/>
        <v>2026</v>
      </c>
      <c r="D357" s="25" t="s">
        <v>207</v>
      </c>
      <c r="E357" s="25" t="s">
        <v>14</v>
      </c>
      <c r="F357" s="25" t="s">
        <v>171</v>
      </c>
      <c r="G357" s="24">
        <v>400</v>
      </c>
      <c r="H357" s="19" t="str">
        <f>IF(LEN(G357)=0,"",VLOOKUP(G357,Issues!A:D,2,FALSE))</f>
        <v>(400) Portales / Web-App</v>
      </c>
      <c r="I357" s="20" t="str">
        <f>IF(LEN(G357)=0,"",VLOOKUP(G357,Issues!A:D,3,FALSE))</f>
        <v>Portal evaluado con éxito.</v>
      </c>
      <c r="J357" s="19" t="str">
        <f>IF(LEN(G357)=0,"",VLOOKUP(G357,Issues!A:D,4,FALSE))</f>
        <v>Prueba OK</v>
      </c>
      <c r="K357" s="21" t="str">
        <f t="shared" si="17"/>
        <v>OK</v>
      </c>
    </row>
    <row r="358" spans="1:11" x14ac:dyDescent="0.35">
      <c r="A358" s="23">
        <v>46033</v>
      </c>
      <c r="B358" s="19" t="str">
        <f t="shared" si="16"/>
        <v>enero</v>
      </c>
      <c r="C358" s="19" t="str">
        <f t="shared" si="18"/>
        <v>2026</v>
      </c>
      <c r="D358" s="25" t="s">
        <v>206</v>
      </c>
      <c r="E358" s="25" t="s">
        <v>14</v>
      </c>
      <c r="F358" s="25" t="s">
        <v>171</v>
      </c>
      <c r="G358" s="24">
        <v>700</v>
      </c>
      <c r="H358" s="19" t="str">
        <f>IF(LEN(G358)=0,"",VLOOKUP(G358,Issues!A:D,2,FALSE))</f>
        <v>(700) Interaccion MO/MT (On Demand)</v>
      </c>
      <c r="I358" s="20" t="str">
        <f>IF(LEN(G358)=0,"",VLOOKUP(G358,Issues!A:D,3,FALSE))</f>
        <v>Flujo MO/MT con éxito.</v>
      </c>
      <c r="J358" s="19" t="str">
        <f>IF(LEN(G358)=0,"",VLOOKUP(G358,Issues!A:D,4,FALSE))</f>
        <v>Prueba OK</v>
      </c>
      <c r="K358" s="21" t="str">
        <f t="shared" si="17"/>
        <v>OK</v>
      </c>
    </row>
    <row r="359" spans="1:11" x14ac:dyDescent="0.35">
      <c r="A359" s="23">
        <v>46035</v>
      </c>
      <c r="B359" s="19" t="str">
        <f t="shared" si="16"/>
        <v>enero</v>
      </c>
      <c r="C359" s="19" t="str">
        <f t="shared" si="18"/>
        <v>2026</v>
      </c>
      <c r="D359" s="25" t="s">
        <v>204</v>
      </c>
      <c r="E359" s="25" t="s">
        <v>11</v>
      </c>
      <c r="F359" s="25" t="s">
        <v>165</v>
      </c>
      <c r="G359" s="24">
        <v>307</v>
      </c>
      <c r="H359" s="19" t="str">
        <f>IF(LEN(G359)=0,"",VLOOKUP(G359,Issues!A:D,2,FALSE))</f>
        <v>(300) Cobros</v>
      </c>
      <c r="I359" s="20" t="str">
        <f>IF(LEN(G359)=0,"",VLOOKUP(G359,Issues!A:D,3,FALSE))</f>
        <v>Inconsistencias con el cobro escalonado.</v>
      </c>
      <c r="J359" s="19" t="str">
        <f>IF(LEN(G359)=0,"",VLOOKUP(G359,Issues!A:D,4,FALSE))</f>
        <v>Critico</v>
      </c>
      <c r="K359" s="21" t="str">
        <f t="shared" si="17"/>
        <v>Issue</v>
      </c>
    </row>
    <row r="360" spans="1:11" x14ac:dyDescent="0.35">
      <c r="A360" s="23">
        <v>46105</v>
      </c>
      <c r="B360" s="19" t="str">
        <f t="shared" si="16"/>
        <v>marzo</v>
      </c>
      <c r="C360" s="19" t="str">
        <f t="shared" si="18"/>
        <v>2026</v>
      </c>
      <c r="D360" s="25" t="s">
        <v>207</v>
      </c>
      <c r="E360" s="25" t="s">
        <v>14</v>
      </c>
      <c r="F360" s="25" t="s">
        <v>172</v>
      </c>
      <c r="G360" s="24">
        <v>100</v>
      </c>
      <c r="H360" s="19" t="str">
        <f>IF(LEN(G360)=0,"",VLOOKUP(G360,Issues!A:D,2,FALSE))</f>
        <v>(100)  Alta</v>
      </c>
      <c r="I360" s="20" t="str">
        <f>IF(LEN(G360)=0,"",VLOOKUP(G360,Issues!A:D,3,FALSE))</f>
        <v>Alta con éxito.</v>
      </c>
      <c r="J360" s="19" t="str">
        <f>IF(LEN(G360)=0,"",VLOOKUP(G360,Issues!A:D,4,FALSE))</f>
        <v>Prueba OK</v>
      </c>
      <c r="K360" s="21" t="str">
        <f t="shared" si="17"/>
        <v>OK</v>
      </c>
    </row>
    <row r="361" spans="1:11" x14ac:dyDescent="0.35">
      <c r="A361" s="23">
        <v>46071</v>
      </c>
      <c r="B361" s="19" t="str">
        <f t="shared" si="16"/>
        <v>febrero</v>
      </c>
      <c r="C361" s="19" t="str">
        <f t="shared" si="18"/>
        <v>2026</v>
      </c>
      <c r="D361" s="25" t="s">
        <v>208</v>
      </c>
      <c r="E361" s="25" t="s">
        <v>17</v>
      </c>
      <c r="F361" s="25" t="s">
        <v>181</v>
      </c>
      <c r="G361" s="24">
        <v>100</v>
      </c>
      <c r="H361" s="19" t="str">
        <f>IF(LEN(G361)=0,"",VLOOKUP(G361,Issues!A:D,2,FALSE))</f>
        <v>(100)  Alta</v>
      </c>
      <c r="I361" s="20" t="str">
        <f>IF(LEN(G361)=0,"",VLOOKUP(G361,Issues!A:D,3,FALSE))</f>
        <v>Alta con éxito.</v>
      </c>
      <c r="J361" s="19" t="str">
        <f>IF(LEN(G361)=0,"",VLOOKUP(G361,Issues!A:D,4,FALSE))</f>
        <v>Prueba OK</v>
      </c>
      <c r="K361" s="21" t="str">
        <f t="shared" si="17"/>
        <v>OK</v>
      </c>
    </row>
    <row r="362" spans="1:11" x14ac:dyDescent="0.35">
      <c r="A362" s="23">
        <v>46149</v>
      </c>
      <c r="B362" s="19" t="str">
        <f t="shared" si="16"/>
        <v>mayo</v>
      </c>
      <c r="C362" s="19" t="str">
        <f t="shared" si="18"/>
        <v>2026</v>
      </c>
      <c r="D362" s="25" t="s">
        <v>207</v>
      </c>
      <c r="E362" s="25" t="s">
        <v>20</v>
      </c>
      <c r="F362" s="25" t="s">
        <v>190</v>
      </c>
      <c r="G362" s="24">
        <v>206</v>
      </c>
      <c r="H362" s="19" t="str">
        <f>IF(LEN(G362)=0,"",VLOOKUP(G362,Issues!A:D,2,FALSE))</f>
        <v>(200) Contenidos</v>
      </c>
      <c r="I362" s="20" t="str">
        <f>IF(LEN(G362)=0,"",VLOOKUP(G362,Issues!A:D,3,FALSE))</f>
        <v>Llego doble contenido.</v>
      </c>
      <c r="J362" s="19" t="str">
        <f>IF(LEN(G362)=0,"",VLOOKUP(G362,Issues!A:D,4,FALSE))</f>
        <v>Medio</v>
      </c>
      <c r="K362" s="21" t="str">
        <f t="shared" si="17"/>
        <v>Issue</v>
      </c>
    </row>
    <row r="363" spans="1:11" x14ac:dyDescent="0.35">
      <c r="A363" s="23">
        <v>46033</v>
      </c>
      <c r="B363" s="19" t="str">
        <f t="shared" si="16"/>
        <v>enero</v>
      </c>
      <c r="C363" s="19" t="str">
        <f t="shared" si="18"/>
        <v>2026</v>
      </c>
      <c r="D363" s="25" t="s">
        <v>207</v>
      </c>
      <c r="E363" s="25" t="s">
        <v>10</v>
      </c>
      <c r="F363" s="25" t="s">
        <v>162</v>
      </c>
      <c r="G363" s="24">
        <v>705</v>
      </c>
      <c r="H363" s="19" t="str">
        <f>IF(LEN(G363)=0,"",VLOOKUP(G363,Issues!A:D,2,FALSE))</f>
        <v>(700) Interaccion MO/MT (On Demand)</v>
      </c>
      <c r="I363" s="20" t="str">
        <f>IF(LEN(G363)=0,"",VLOOKUP(G363,Issues!A:D,3,FALSE))</f>
        <v>No funcionan los kw´s especiales (info, puntaje, ayuda, etc).</v>
      </c>
      <c r="J363" s="19" t="str">
        <f>IF(LEN(G363)=0,"",VLOOKUP(G363,Issues!A:D,4,FALSE))</f>
        <v>Medio</v>
      </c>
      <c r="K363" s="21" t="str">
        <f t="shared" si="17"/>
        <v>Issue</v>
      </c>
    </row>
    <row r="364" spans="1:11" x14ac:dyDescent="0.35">
      <c r="A364" s="23">
        <v>46105</v>
      </c>
      <c r="B364" s="19" t="str">
        <f t="shared" si="16"/>
        <v>marzo</v>
      </c>
      <c r="C364" s="19" t="str">
        <f t="shared" si="18"/>
        <v>2026</v>
      </c>
      <c r="D364" s="25" t="s">
        <v>208</v>
      </c>
      <c r="E364" s="25" t="s">
        <v>16</v>
      </c>
      <c r="F364" s="25" t="s">
        <v>176</v>
      </c>
      <c r="G364" s="24">
        <v>200</v>
      </c>
      <c r="H364" s="19" t="str">
        <f>IF(LEN(G364)=0,"",VLOOKUP(G364,Issues!A:D,2,FALSE))</f>
        <v>(200) Contenidos</v>
      </c>
      <c r="I364" s="20" t="str">
        <f>IF(LEN(G364)=0,"",VLOOKUP(G364,Issues!A:D,3,FALSE))</f>
        <v>Contenidos recibido con éxito.</v>
      </c>
      <c r="J364" s="19" t="str">
        <f>IF(LEN(G364)=0,"",VLOOKUP(G364,Issues!A:D,4,FALSE))</f>
        <v>Prueba OK</v>
      </c>
      <c r="K364" s="21" t="str">
        <f t="shared" si="17"/>
        <v>OK</v>
      </c>
    </row>
    <row r="365" spans="1:11" x14ac:dyDescent="0.35">
      <c r="A365" s="23">
        <v>46024</v>
      </c>
      <c r="B365" s="19" t="str">
        <f t="shared" si="16"/>
        <v>enero</v>
      </c>
      <c r="C365" s="19" t="str">
        <f t="shared" si="18"/>
        <v>2026</v>
      </c>
      <c r="D365" s="25" t="s">
        <v>207</v>
      </c>
      <c r="E365" s="25" t="s">
        <v>20</v>
      </c>
      <c r="F365" s="25" t="s">
        <v>189</v>
      </c>
      <c r="G365" s="24">
        <v>403</v>
      </c>
      <c r="H365" s="19" t="str">
        <f>IF(LEN(G365)=0,"",VLOOKUP(G365,Issues!A:D,2,FALSE))</f>
        <v>(400) Portales / Web-App</v>
      </c>
      <c r="I365" s="20" t="str">
        <f>IF(LEN(G365)=0,"",VLOOKUP(G365,Issues!A:D,3,FALSE))</f>
        <v>Portal desactualizado.</v>
      </c>
      <c r="J365" s="19" t="str">
        <f>IF(LEN(G365)=0,"",VLOOKUP(G365,Issues!A:D,4,FALSE))</f>
        <v>Medio</v>
      </c>
      <c r="K365" s="21" t="str">
        <f t="shared" si="17"/>
        <v>Issue</v>
      </c>
    </row>
    <row r="366" spans="1:11" x14ac:dyDescent="0.35">
      <c r="A366" s="23">
        <v>46151</v>
      </c>
      <c r="B366" s="19" t="str">
        <f t="shared" si="16"/>
        <v>mayo</v>
      </c>
      <c r="C366" s="19" t="str">
        <f t="shared" si="18"/>
        <v>2026</v>
      </c>
      <c r="D366" s="25" t="s">
        <v>208</v>
      </c>
      <c r="E366" s="25" t="s">
        <v>22</v>
      </c>
      <c r="F366" s="25" t="s">
        <v>150</v>
      </c>
      <c r="G366" s="24">
        <v>400</v>
      </c>
      <c r="H366" s="19" t="str">
        <f>IF(LEN(G366)=0,"",VLOOKUP(G366,Issues!A:D,2,FALSE))</f>
        <v>(400) Portales / Web-App</v>
      </c>
      <c r="I366" s="20" t="str">
        <f>IF(LEN(G366)=0,"",VLOOKUP(G366,Issues!A:D,3,FALSE))</f>
        <v>Portal evaluado con éxito.</v>
      </c>
      <c r="J366" s="19" t="str">
        <f>IF(LEN(G366)=0,"",VLOOKUP(G366,Issues!A:D,4,FALSE))</f>
        <v>Prueba OK</v>
      </c>
      <c r="K366" s="21" t="str">
        <f t="shared" si="17"/>
        <v>OK</v>
      </c>
    </row>
    <row r="367" spans="1:11" x14ac:dyDescent="0.35">
      <c r="A367" s="23">
        <v>46090</v>
      </c>
      <c r="B367" s="19" t="str">
        <f t="shared" si="16"/>
        <v>marzo</v>
      </c>
      <c r="C367" s="19" t="str">
        <f t="shared" si="18"/>
        <v>2026</v>
      </c>
      <c r="D367" s="25" t="s">
        <v>207</v>
      </c>
      <c r="E367" s="25" t="s">
        <v>22</v>
      </c>
      <c r="F367" s="25" t="s">
        <v>150</v>
      </c>
      <c r="G367" s="24">
        <v>400</v>
      </c>
      <c r="H367" s="19" t="str">
        <f>IF(LEN(G367)=0,"",VLOOKUP(G367,Issues!A:D,2,FALSE))</f>
        <v>(400) Portales / Web-App</v>
      </c>
      <c r="I367" s="20" t="str">
        <f>IF(LEN(G367)=0,"",VLOOKUP(G367,Issues!A:D,3,FALSE))</f>
        <v>Portal evaluado con éxito.</v>
      </c>
      <c r="J367" s="19" t="str">
        <f>IF(LEN(G367)=0,"",VLOOKUP(G367,Issues!A:D,4,FALSE))</f>
        <v>Prueba OK</v>
      </c>
      <c r="K367" s="21" t="str">
        <f t="shared" si="17"/>
        <v>OK</v>
      </c>
    </row>
    <row r="368" spans="1:11" x14ac:dyDescent="0.35">
      <c r="A368" s="23">
        <v>46141</v>
      </c>
      <c r="B368" s="19" t="str">
        <f t="shared" si="16"/>
        <v>abril</v>
      </c>
      <c r="C368" s="19" t="str">
        <f t="shared" si="18"/>
        <v>2026</v>
      </c>
      <c r="D368" s="25" t="s">
        <v>206</v>
      </c>
      <c r="E368" s="25" t="s">
        <v>25</v>
      </c>
      <c r="F368" s="25" t="s">
        <v>199</v>
      </c>
      <c r="G368" s="24">
        <v>102</v>
      </c>
      <c r="H368" s="19" t="str">
        <f>IF(LEN(G368)=0,"",VLOOKUP(G368,Issues!A:D,2,FALSE))</f>
        <v>(100)  Alta</v>
      </c>
      <c r="I368" s="20" t="str">
        <f>IF(LEN(G368)=0,"",VLOOKUP(G368,Issues!A:D,3,FALSE))</f>
        <v>Falla en doble optin en sms.</v>
      </c>
      <c r="J368" s="19" t="str">
        <f>IF(LEN(G368)=0,"",VLOOKUP(G368,Issues!A:D,4,FALSE))</f>
        <v>Critico</v>
      </c>
      <c r="K368" s="21" t="str">
        <f t="shared" si="17"/>
        <v>Issue</v>
      </c>
    </row>
    <row r="369" spans="1:11" x14ac:dyDescent="0.35">
      <c r="A369" s="23">
        <v>46103</v>
      </c>
      <c r="B369" s="19" t="str">
        <f t="shared" si="16"/>
        <v>marzo</v>
      </c>
      <c r="C369" s="19" t="str">
        <f t="shared" si="18"/>
        <v>2026</v>
      </c>
      <c r="D369" s="25" t="s">
        <v>206</v>
      </c>
      <c r="E369" s="25" t="s">
        <v>24</v>
      </c>
      <c r="F369" s="25" t="s">
        <v>151</v>
      </c>
      <c r="G369" s="24">
        <v>300</v>
      </c>
      <c r="H369" s="19" t="str">
        <f>IF(LEN(G369)=0,"",VLOOKUP(G369,Issues!A:D,2,FALSE))</f>
        <v>(300) Cobros</v>
      </c>
      <c r="I369" s="20" t="str">
        <f>IF(LEN(G369)=0,"",VLOOKUP(G369,Issues!A:D,3,FALSE))</f>
        <v>Cobro en valor y forma correcto.</v>
      </c>
      <c r="J369" s="19" t="str">
        <f>IF(LEN(G369)=0,"",VLOOKUP(G369,Issues!A:D,4,FALSE))</f>
        <v>Prueba OK</v>
      </c>
      <c r="K369" s="21" t="str">
        <f t="shared" si="17"/>
        <v>OK</v>
      </c>
    </row>
    <row r="370" spans="1:11" x14ac:dyDescent="0.35">
      <c r="A370" s="23">
        <v>46138</v>
      </c>
      <c r="B370" s="19" t="str">
        <f t="shared" si="16"/>
        <v>abril</v>
      </c>
      <c r="C370" s="19" t="str">
        <f t="shared" si="18"/>
        <v>2026</v>
      </c>
      <c r="D370" s="25" t="s">
        <v>207</v>
      </c>
      <c r="E370" s="25" t="s">
        <v>15</v>
      </c>
      <c r="F370" s="25" t="s">
        <v>175</v>
      </c>
      <c r="G370" s="24">
        <v>703</v>
      </c>
      <c r="H370" s="19" t="str">
        <f>IF(LEN(G370)=0,"",VLOOKUP(G370,Issues!A:D,2,FALSE))</f>
        <v>(700) Interaccion MO/MT (On Demand)</v>
      </c>
      <c r="I370" s="20" t="str">
        <f>IF(LEN(G370)=0,"",VLOOKUP(G370,Issues!A:D,3,FALSE))</f>
        <v>Fallas en la interaccion mo/mt.</v>
      </c>
      <c r="J370" s="19" t="str">
        <f>IF(LEN(G370)=0,"",VLOOKUP(G370,Issues!A:D,4,FALSE))</f>
        <v>Critico</v>
      </c>
      <c r="K370" s="21" t="str">
        <f t="shared" si="17"/>
        <v>Issue</v>
      </c>
    </row>
    <row r="371" spans="1:11" x14ac:dyDescent="0.35">
      <c r="A371" s="23">
        <v>46136</v>
      </c>
      <c r="B371" s="19" t="str">
        <f t="shared" si="16"/>
        <v>abril</v>
      </c>
      <c r="C371" s="19" t="str">
        <f t="shared" si="18"/>
        <v>2026</v>
      </c>
      <c r="D371" s="25" t="s">
        <v>206</v>
      </c>
      <c r="E371" s="25" t="s">
        <v>23</v>
      </c>
      <c r="F371" s="25" t="s">
        <v>194</v>
      </c>
      <c r="G371" s="24">
        <v>703</v>
      </c>
      <c r="H371" s="19" t="str">
        <f>IF(LEN(G371)=0,"",VLOOKUP(G371,Issues!A:D,2,FALSE))</f>
        <v>(700) Interaccion MO/MT (On Demand)</v>
      </c>
      <c r="I371" s="20" t="str">
        <f>IF(LEN(G371)=0,"",VLOOKUP(G371,Issues!A:D,3,FALSE))</f>
        <v>Fallas en la interaccion mo/mt.</v>
      </c>
      <c r="J371" s="19" t="str">
        <f>IF(LEN(G371)=0,"",VLOOKUP(G371,Issues!A:D,4,FALSE))</f>
        <v>Critico</v>
      </c>
      <c r="K371" s="21" t="str">
        <f t="shared" si="17"/>
        <v>Issue</v>
      </c>
    </row>
    <row r="372" spans="1:11" x14ac:dyDescent="0.35">
      <c r="A372" s="23">
        <v>46147</v>
      </c>
      <c r="B372" s="19" t="str">
        <f t="shared" si="16"/>
        <v>mayo</v>
      </c>
      <c r="C372" s="19" t="str">
        <f t="shared" si="18"/>
        <v>2026</v>
      </c>
      <c r="D372" s="25" t="s">
        <v>206</v>
      </c>
      <c r="E372" s="25" t="s">
        <v>13</v>
      </c>
      <c r="F372" s="25" t="s">
        <v>157</v>
      </c>
      <c r="G372" s="24">
        <v>801</v>
      </c>
      <c r="H372" s="19" t="str">
        <f>IF(LEN(G372)=0,"",VLOOKUP(G372,Issues!A:D,2,FALSE))</f>
        <v>(800) Politicas especiales operadores</v>
      </c>
      <c r="I372" s="20" t="str">
        <f>IF(LEN(G372)=0,"",VLOOKUP(G372,Issues!A:D,3,FALSE))</f>
        <v>No da respuesta a kw regulatorio.</v>
      </c>
      <c r="J372" s="19" t="str">
        <f>IF(LEN(G372)=0,"",VLOOKUP(G372,Issues!A:D,4,FALSE))</f>
        <v>Critico</v>
      </c>
      <c r="K372" s="21" t="str">
        <f t="shared" si="17"/>
        <v>Issue</v>
      </c>
    </row>
    <row r="373" spans="1:11" x14ac:dyDescent="0.35">
      <c r="A373" s="23">
        <v>46128</v>
      </c>
      <c r="B373" s="19" t="str">
        <f t="shared" si="16"/>
        <v>abril</v>
      </c>
      <c r="C373" s="19" t="str">
        <f t="shared" si="18"/>
        <v>2026</v>
      </c>
      <c r="D373" s="25" t="s">
        <v>207</v>
      </c>
      <c r="E373" s="25" t="s">
        <v>12</v>
      </c>
      <c r="F373" s="25" t="s">
        <v>168</v>
      </c>
      <c r="G373" s="24">
        <v>200</v>
      </c>
      <c r="H373" s="19" t="str">
        <f>IF(LEN(G373)=0,"",VLOOKUP(G373,Issues!A:D,2,FALSE))</f>
        <v>(200) Contenidos</v>
      </c>
      <c r="I373" s="20" t="str">
        <f>IF(LEN(G373)=0,"",VLOOKUP(G373,Issues!A:D,3,FALSE))</f>
        <v>Contenidos recibido con éxito.</v>
      </c>
      <c r="J373" s="19" t="str">
        <f>IF(LEN(G373)=0,"",VLOOKUP(G373,Issues!A:D,4,FALSE))</f>
        <v>Prueba OK</v>
      </c>
      <c r="K373" s="21" t="str">
        <f t="shared" si="17"/>
        <v>OK</v>
      </c>
    </row>
    <row r="374" spans="1:11" x14ac:dyDescent="0.35">
      <c r="A374" s="23">
        <v>46025</v>
      </c>
      <c r="B374" s="19" t="str">
        <f t="shared" si="16"/>
        <v>enero</v>
      </c>
      <c r="C374" s="19" t="str">
        <f t="shared" si="18"/>
        <v>2026</v>
      </c>
      <c r="D374" s="25" t="s">
        <v>206</v>
      </c>
      <c r="E374" s="25" t="s">
        <v>10</v>
      </c>
      <c r="F374" s="25" t="s">
        <v>163</v>
      </c>
      <c r="G374" s="24">
        <v>200</v>
      </c>
      <c r="H374" s="19" t="str">
        <f>IF(LEN(G374)=0,"",VLOOKUP(G374,Issues!A:D,2,FALSE))</f>
        <v>(200) Contenidos</v>
      </c>
      <c r="I374" s="20" t="str">
        <f>IF(LEN(G374)=0,"",VLOOKUP(G374,Issues!A:D,3,FALSE))</f>
        <v>Contenidos recibido con éxito.</v>
      </c>
      <c r="J374" s="19" t="str">
        <f>IF(LEN(G374)=0,"",VLOOKUP(G374,Issues!A:D,4,FALSE))</f>
        <v>Prueba OK</v>
      </c>
      <c r="K374" s="21" t="str">
        <f t="shared" si="17"/>
        <v>OK</v>
      </c>
    </row>
    <row r="375" spans="1:11" x14ac:dyDescent="0.35">
      <c r="A375" s="23">
        <v>46067</v>
      </c>
      <c r="B375" s="19" t="str">
        <f t="shared" si="16"/>
        <v>febrero</v>
      </c>
      <c r="C375" s="19" t="str">
        <f t="shared" si="18"/>
        <v>2026</v>
      </c>
      <c r="D375" s="25" t="s">
        <v>206</v>
      </c>
      <c r="E375" s="25" t="s">
        <v>17</v>
      </c>
      <c r="F375" s="25" t="s">
        <v>181</v>
      </c>
      <c r="G375" s="24">
        <v>103</v>
      </c>
      <c r="H375" s="19" t="str">
        <f>IF(LEN(G375)=0,"",VLOOKUP(G375,Issues!A:D,2,FALSE))</f>
        <v>(100)  Alta</v>
      </c>
      <c r="I375" s="20" t="str">
        <f>IF(LEN(G375)=0,"",VLOOKUP(G375,Issues!A:D,3,FALSE))</f>
        <v>Inconsistencia en el welcome.</v>
      </c>
      <c r="J375" s="19" t="str">
        <f>IF(LEN(G375)=0,"",VLOOKUP(G375,Issues!A:D,4,FALSE))</f>
        <v>Critico</v>
      </c>
      <c r="K375" s="21" t="str">
        <f t="shared" si="17"/>
        <v>Issue</v>
      </c>
    </row>
    <row r="376" spans="1:11" x14ac:dyDescent="0.35">
      <c r="A376" s="23">
        <v>46104</v>
      </c>
      <c r="B376" s="19" t="str">
        <f t="shared" si="16"/>
        <v>marzo</v>
      </c>
      <c r="C376" s="19" t="str">
        <f t="shared" si="18"/>
        <v>2026</v>
      </c>
      <c r="D376" s="25" t="s">
        <v>207</v>
      </c>
      <c r="E376" s="25" t="s">
        <v>24</v>
      </c>
      <c r="F376" s="25" t="s">
        <v>159</v>
      </c>
      <c r="G376" s="24">
        <v>200</v>
      </c>
      <c r="H376" s="19" t="str">
        <f>IF(LEN(G376)=0,"",VLOOKUP(G376,Issues!A:D,2,FALSE))</f>
        <v>(200) Contenidos</v>
      </c>
      <c r="I376" s="20" t="str">
        <f>IF(LEN(G376)=0,"",VLOOKUP(G376,Issues!A:D,3,FALSE))</f>
        <v>Contenidos recibido con éxito.</v>
      </c>
      <c r="J376" s="19" t="str">
        <f>IF(LEN(G376)=0,"",VLOOKUP(G376,Issues!A:D,4,FALSE))</f>
        <v>Prueba OK</v>
      </c>
      <c r="K376" s="21" t="str">
        <f t="shared" si="17"/>
        <v>OK</v>
      </c>
    </row>
    <row r="377" spans="1:11" x14ac:dyDescent="0.35">
      <c r="A377" s="23">
        <v>46035</v>
      </c>
      <c r="B377" s="19" t="str">
        <f t="shared" si="16"/>
        <v>enero</v>
      </c>
      <c r="C377" s="19" t="str">
        <f t="shared" si="18"/>
        <v>2026</v>
      </c>
      <c r="D377" s="25" t="s">
        <v>210</v>
      </c>
      <c r="E377" s="25" t="s">
        <v>18</v>
      </c>
      <c r="F377" s="25" t="s">
        <v>184</v>
      </c>
      <c r="G377" s="24">
        <v>402</v>
      </c>
      <c r="H377" s="19" t="str">
        <f>IF(LEN(G377)=0,"",VLOOKUP(G377,Issues!A:D,2,FALSE))</f>
        <v>(400) Portales / Web-App</v>
      </c>
      <c r="I377" s="20" t="str">
        <f>IF(LEN(G377)=0,"",VLOOKUP(G377,Issues!A:D,3,FALSE))</f>
        <v>Portal / web-app caida.</v>
      </c>
      <c r="J377" s="19" t="str">
        <f>IF(LEN(G377)=0,"",VLOOKUP(G377,Issues!A:D,4,FALSE))</f>
        <v>Critico</v>
      </c>
      <c r="K377" s="21" t="str">
        <f t="shared" si="17"/>
        <v>Issue</v>
      </c>
    </row>
    <row r="378" spans="1:11" x14ac:dyDescent="0.35">
      <c r="A378" s="23">
        <v>46094</v>
      </c>
      <c r="B378" s="19" t="str">
        <f t="shared" si="16"/>
        <v>marzo</v>
      </c>
      <c r="C378" s="19" t="str">
        <f t="shared" si="18"/>
        <v>2026</v>
      </c>
      <c r="D378" s="25" t="s">
        <v>206</v>
      </c>
      <c r="E378" s="25" t="s">
        <v>26</v>
      </c>
      <c r="F378" s="25" t="s">
        <v>160</v>
      </c>
      <c r="G378" s="24">
        <v>303</v>
      </c>
      <c r="H378" s="19" t="str">
        <f>IF(LEN(G378)=0,"",VLOOKUP(G378,Issues!A:D,2,FALSE))</f>
        <v>(300) Cobros</v>
      </c>
      <c r="I378" s="20" t="str">
        <f>IF(LEN(G378)=0,"",VLOOKUP(G378,Issues!A:D,3,FALSE))</f>
        <v>Llego contenido (no hubo cobro).</v>
      </c>
      <c r="J378" s="19" t="str">
        <f>IF(LEN(G378)=0,"",VLOOKUP(G378,Issues!A:D,4,FALSE))</f>
        <v>Critico</v>
      </c>
      <c r="K378" s="21" t="str">
        <f t="shared" si="17"/>
        <v>Issue</v>
      </c>
    </row>
    <row r="379" spans="1:11" x14ac:dyDescent="0.35">
      <c r="A379" s="23">
        <v>46130</v>
      </c>
      <c r="B379" s="19" t="str">
        <f t="shared" si="16"/>
        <v>abril</v>
      </c>
      <c r="C379" s="19" t="str">
        <f t="shared" si="18"/>
        <v>2026</v>
      </c>
      <c r="D379" s="25" t="s">
        <v>206</v>
      </c>
      <c r="E379" s="25" t="s">
        <v>19</v>
      </c>
      <c r="F379" s="25" t="s">
        <v>187</v>
      </c>
      <c r="G379" s="24">
        <v>800</v>
      </c>
      <c r="H379" s="19" t="str">
        <f>IF(LEN(G379)=0,"",VLOOKUP(G379,Issues!A:D,2,FALSE))</f>
        <v>(800) Politicas especiales operadores</v>
      </c>
      <c r="I379" s="20" t="str">
        <f>IF(LEN(G379)=0,"",VLOOKUP(G379,Issues!A:D,3,FALSE))</f>
        <v>Politicas de los operadores cumplidas.</v>
      </c>
      <c r="J379" s="19" t="str">
        <f>IF(LEN(G379)=0,"",VLOOKUP(G379,Issues!A:D,4,FALSE))</f>
        <v>Prueba OK</v>
      </c>
      <c r="K379" s="21" t="str">
        <f t="shared" si="17"/>
        <v>OK</v>
      </c>
    </row>
    <row r="380" spans="1:11" x14ac:dyDescent="0.35">
      <c r="A380" s="23">
        <v>46113</v>
      </c>
      <c r="B380" s="19" t="str">
        <f t="shared" si="16"/>
        <v>abril</v>
      </c>
      <c r="C380" s="19" t="str">
        <f t="shared" si="18"/>
        <v>2026</v>
      </c>
      <c r="D380" s="25" t="s">
        <v>206</v>
      </c>
      <c r="E380" s="25" t="s">
        <v>19</v>
      </c>
      <c r="F380" s="25" t="s">
        <v>185</v>
      </c>
      <c r="G380" s="24">
        <v>112</v>
      </c>
      <c r="H380" s="19" t="str">
        <f>IF(LEN(G380)=0,"",VLOOKUP(G380,Issues!A:D,2,FALSE))</f>
        <v>(100)  Alta</v>
      </c>
      <c r="I380" s="20" t="str">
        <f>IF(LEN(G380)=0,"",VLOOKUP(G380,Issues!A:D,3,FALSE))</f>
        <v>Falla en alta a traves de tienda.</v>
      </c>
      <c r="J380" s="19" t="str">
        <f>IF(LEN(G380)=0,"",VLOOKUP(G380,Issues!A:D,4,FALSE))</f>
        <v>Critico</v>
      </c>
      <c r="K380" s="21" t="str">
        <f t="shared" si="17"/>
        <v>Issue</v>
      </c>
    </row>
    <row r="381" spans="1:11" x14ac:dyDescent="0.35">
      <c r="A381" s="23">
        <v>46097</v>
      </c>
      <c r="B381" s="19" t="str">
        <f t="shared" si="16"/>
        <v>marzo</v>
      </c>
      <c r="C381" s="19" t="str">
        <f t="shared" si="18"/>
        <v>2026</v>
      </c>
      <c r="D381" s="25" t="s">
        <v>210</v>
      </c>
      <c r="E381" s="25" t="s">
        <v>13</v>
      </c>
      <c r="F381" s="25" t="s">
        <v>157</v>
      </c>
      <c r="G381" s="24">
        <v>112</v>
      </c>
      <c r="H381" s="19" t="str">
        <f>IF(LEN(G381)=0,"",VLOOKUP(G381,Issues!A:D,2,FALSE))</f>
        <v>(100)  Alta</v>
      </c>
      <c r="I381" s="20" t="str">
        <f>IF(LEN(G381)=0,"",VLOOKUP(G381,Issues!A:D,3,FALSE))</f>
        <v>Falla en alta a traves de tienda.</v>
      </c>
      <c r="J381" s="19" t="str">
        <f>IF(LEN(G381)=0,"",VLOOKUP(G381,Issues!A:D,4,FALSE))</f>
        <v>Critico</v>
      </c>
      <c r="K381" s="21" t="str">
        <f t="shared" si="17"/>
        <v>Issue</v>
      </c>
    </row>
    <row r="382" spans="1:11" x14ac:dyDescent="0.35">
      <c r="A382" s="23">
        <v>46133</v>
      </c>
      <c r="B382" s="19" t="str">
        <f t="shared" si="16"/>
        <v>abril</v>
      </c>
      <c r="C382" s="19" t="str">
        <f t="shared" si="18"/>
        <v>2026</v>
      </c>
      <c r="D382" s="25" t="s">
        <v>205</v>
      </c>
      <c r="E382" s="25" t="s">
        <v>23</v>
      </c>
      <c r="F382" s="25" t="s">
        <v>195</v>
      </c>
      <c r="G382" s="24">
        <v>200</v>
      </c>
      <c r="H382" s="19" t="str">
        <f>IF(LEN(G382)=0,"",VLOOKUP(G382,Issues!A:D,2,FALSE))</f>
        <v>(200) Contenidos</v>
      </c>
      <c r="I382" s="20" t="str">
        <f>IF(LEN(G382)=0,"",VLOOKUP(G382,Issues!A:D,3,FALSE))</f>
        <v>Contenidos recibido con éxito.</v>
      </c>
      <c r="J382" s="19" t="str">
        <f>IF(LEN(G382)=0,"",VLOOKUP(G382,Issues!A:D,4,FALSE))</f>
        <v>Prueba OK</v>
      </c>
      <c r="K382" s="21" t="str">
        <f t="shared" si="17"/>
        <v>OK</v>
      </c>
    </row>
    <row r="383" spans="1:11" x14ac:dyDescent="0.35">
      <c r="A383" s="23">
        <v>46135</v>
      </c>
      <c r="B383" s="19" t="str">
        <f t="shared" si="16"/>
        <v>abril</v>
      </c>
      <c r="C383" s="19" t="str">
        <f t="shared" si="18"/>
        <v>2026</v>
      </c>
      <c r="D383" s="25" t="s">
        <v>204</v>
      </c>
      <c r="E383" s="25" t="s">
        <v>25</v>
      </c>
      <c r="F383" s="25" t="s">
        <v>199</v>
      </c>
      <c r="G383" s="24">
        <v>200</v>
      </c>
      <c r="H383" s="19" t="str">
        <f>IF(LEN(G383)=0,"",VLOOKUP(G383,Issues!A:D,2,FALSE))</f>
        <v>(200) Contenidos</v>
      </c>
      <c r="I383" s="20" t="str">
        <f>IF(LEN(G383)=0,"",VLOOKUP(G383,Issues!A:D,3,FALSE))</f>
        <v>Contenidos recibido con éxito.</v>
      </c>
      <c r="J383" s="19" t="str">
        <f>IF(LEN(G383)=0,"",VLOOKUP(G383,Issues!A:D,4,FALSE))</f>
        <v>Prueba OK</v>
      </c>
      <c r="K383" s="21" t="str">
        <f t="shared" si="17"/>
        <v>OK</v>
      </c>
    </row>
    <row r="384" spans="1:11" x14ac:dyDescent="0.35">
      <c r="A384" s="23">
        <v>46124</v>
      </c>
      <c r="B384" s="19" t="str">
        <f t="shared" si="16"/>
        <v>abril</v>
      </c>
      <c r="C384" s="19" t="str">
        <f t="shared" si="18"/>
        <v>2026</v>
      </c>
      <c r="D384" s="25" t="s">
        <v>206</v>
      </c>
      <c r="E384" s="25" t="s">
        <v>15</v>
      </c>
      <c r="F384" s="25" t="s">
        <v>175</v>
      </c>
      <c r="G384" s="24">
        <v>400</v>
      </c>
      <c r="H384" s="19" t="str">
        <f>IF(LEN(G384)=0,"",VLOOKUP(G384,Issues!A:D,2,FALSE))</f>
        <v>(400) Portales / Web-App</v>
      </c>
      <c r="I384" s="20" t="str">
        <f>IF(LEN(G384)=0,"",VLOOKUP(G384,Issues!A:D,3,FALSE))</f>
        <v>Portal evaluado con éxito.</v>
      </c>
      <c r="J384" s="19" t="str">
        <f>IF(LEN(G384)=0,"",VLOOKUP(G384,Issues!A:D,4,FALSE))</f>
        <v>Prueba OK</v>
      </c>
      <c r="K384" s="21" t="str">
        <f t="shared" si="17"/>
        <v>OK</v>
      </c>
    </row>
    <row r="385" spans="1:11" x14ac:dyDescent="0.35">
      <c r="A385" s="23">
        <v>46043</v>
      </c>
      <c r="B385" s="19" t="str">
        <f t="shared" si="16"/>
        <v>enero</v>
      </c>
      <c r="C385" s="19" t="str">
        <f t="shared" si="18"/>
        <v>2026</v>
      </c>
      <c r="D385" s="25" t="s">
        <v>206</v>
      </c>
      <c r="E385" s="25" t="s">
        <v>24</v>
      </c>
      <c r="F385" s="25" t="s">
        <v>151</v>
      </c>
      <c r="G385" s="24">
        <v>306</v>
      </c>
      <c r="H385" s="19" t="str">
        <f>IF(LEN(G385)=0,"",VLOOKUP(G385,Issues!A:D,2,FALSE))</f>
        <v>(300) Cobros</v>
      </c>
      <c r="I385" s="20" t="str">
        <f>IF(LEN(G385)=0,"",VLOOKUP(G385,Issues!A:D,3,FALSE))</f>
        <v>Inconsistencias en la recurrencia del cobro.</v>
      </c>
      <c r="J385" s="19" t="str">
        <f>IF(LEN(G385)=0,"",VLOOKUP(G385,Issues!A:D,4,FALSE))</f>
        <v>Critico</v>
      </c>
      <c r="K385" s="21" t="str">
        <f t="shared" si="17"/>
        <v>Issue</v>
      </c>
    </row>
    <row r="386" spans="1:11" x14ac:dyDescent="0.35">
      <c r="A386" s="23">
        <v>46119</v>
      </c>
      <c r="B386" s="19" t="str">
        <f t="shared" si="16"/>
        <v>abril</v>
      </c>
      <c r="C386" s="19" t="str">
        <f t="shared" si="18"/>
        <v>2026</v>
      </c>
      <c r="D386" s="25" t="s">
        <v>207</v>
      </c>
      <c r="E386" s="25" t="s">
        <v>16</v>
      </c>
      <c r="F386" s="25" t="s">
        <v>177</v>
      </c>
      <c r="G386" s="24">
        <v>300</v>
      </c>
      <c r="H386" s="19" t="str">
        <f>IF(LEN(G386)=0,"",VLOOKUP(G386,Issues!A:D,2,FALSE))</f>
        <v>(300) Cobros</v>
      </c>
      <c r="I386" s="20" t="str">
        <f>IF(LEN(G386)=0,"",VLOOKUP(G386,Issues!A:D,3,FALSE))</f>
        <v>Cobro en valor y forma correcto.</v>
      </c>
      <c r="J386" s="19" t="str">
        <f>IF(LEN(G386)=0,"",VLOOKUP(G386,Issues!A:D,4,FALSE))</f>
        <v>Prueba OK</v>
      </c>
      <c r="K386" s="21" t="str">
        <f t="shared" si="17"/>
        <v>OK</v>
      </c>
    </row>
    <row r="387" spans="1:11" x14ac:dyDescent="0.35">
      <c r="A387" s="23">
        <v>46112</v>
      </c>
      <c r="B387" s="19" t="str">
        <f t="shared" ref="B387:B450" si="19">IF(LEN(A387)=0,"",TEXT(A387,"mmmm"))</f>
        <v>marzo</v>
      </c>
      <c r="C387" s="19" t="str">
        <f t="shared" si="18"/>
        <v>2026</v>
      </c>
      <c r="D387" s="25" t="s">
        <v>208</v>
      </c>
      <c r="E387" s="25" t="s">
        <v>15</v>
      </c>
      <c r="F387" s="25" t="s">
        <v>173</v>
      </c>
      <c r="G387" s="24">
        <v>301</v>
      </c>
      <c r="H387" s="19" t="str">
        <f>IF(LEN(G387)=0,"",VLOOKUP(G387,Issues!A:D,2,FALSE))</f>
        <v>(300) Cobros</v>
      </c>
      <c r="I387" s="20" t="str">
        <f>IF(LEN(G387)=0,"",VLOOKUP(G387,Issues!A:D,3,FALSE))</f>
        <v>No llego contenido (si hubo cobro).</v>
      </c>
      <c r="J387" s="19" t="str">
        <f>IF(LEN(G387)=0,"",VLOOKUP(G387,Issues!A:D,4,FALSE))</f>
        <v>Critico</v>
      </c>
      <c r="K387" s="21" t="str">
        <f t="shared" ref="K387:K450" si="20">IF(LEN(G387)=0,"",IF(OR(J387="critico",J387="Medio",J387="Bajo"),"Issue",IF(J387="Prueba OK","OK","")))</f>
        <v>Issue</v>
      </c>
    </row>
    <row r="388" spans="1:11" x14ac:dyDescent="0.35">
      <c r="A388" s="23">
        <v>46054</v>
      </c>
      <c r="B388" s="19" t="str">
        <f t="shared" si="19"/>
        <v>febrero</v>
      </c>
      <c r="C388" s="19" t="str">
        <f t="shared" si="18"/>
        <v>2026</v>
      </c>
      <c r="D388" s="25" t="s">
        <v>208</v>
      </c>
      <c r="E388" s="25" t="s">
        <v>14</v>
      </c>
      <c r="F388" s="25" t="s">
        <v>170</v>
      </c>
      <c r="G388" s="24">
        <v>303</v>
      </c>
      <c r="H388" s="19" t="str">
        <f>IF(LEN(G388)=0,"",VLOOKUP(G388,Issues!A:D,2,FALSE))</f>
        <v>(300) Cobros</v>
      </c>
      <c r="I388" s="20" t="str">
        <f>IF(LEN(G388)=0,"",VLOOKUP(G388,Issues!A:D,3,FALSE))</f>
        <v>Llego contenido (no hubo cobro).</v>
      </c>
      <c r="J388" s="19" t="str">
        <f>IF(LEN(G388)=0,"",VLOOKUP(G388,Issues!A:D,4,FALSE))</f>
        <v>Critico</v>
      </c>
      <c r="K388" s="21" t="str">
        <f t="shared" si="20"/>
        <v>Issue</v>
      </c>
    </row>
    <row r="389" spans="1:11" x14ac:dyDescent="0.35">
      <c r="A389" s="23">
        <v>46085</v>
      </c>
      <c r="B389" s="19" t="str">
        <f t="shared" si="19"/>
        <v>marzo</v>
      </c>
      <c r="C389" s="19" t="str">
        <f t="shared" si="18"/>
        <v>2026</v>
      </c>
      <c r="D389" s="25" t="s">
        <v>209</v>
      </c>
      <c r="E389" s="25" t="s">
        <v>12</v>
      </c>
      <c r="F389" s="25" t="s">
        <v>168</v>
      </c>
      <c r="G389" s="24">
        <v>400</v>
      </c>
      <c r="H389" s="19" t="str">
        <f>IF(LEN(G389)=0,"",VLOOKUP(G389,Issues!A:D,2,FALSE))</f>
        <v>(400) Portales / Web-App</v>
      </c>
      <c r="I389" s="20" t="str">
        <f>IF(LEN(G389)=0,"",VLOOKUP(G389,Issues!A:D,3,FALSE))</f>
        <v>Portal evaluado con éxito.</v>
      </c>
      <c r="J389" s="19" t="str">
        <f>IF(LEN(G389)=0,"",VLOOKUP(G389,Issues!A:D,4,FALSE))</f>
        <v>Prueba OK</v>
      </c>
      <c r="K389" s="21" t="str">
        <f t="shared" si="20"/>
        <v>OK</v>
      </c>
    </row>
    <row r="390" spans="1:11" x14ac:dyDescent="0.35">
      <c r="A390" s="23">
        <v>46045</v>
      </c>
      <c r="B390" s="19" t="str">
        <f t="shared" si="19"/>
        <v>enero</v>
      </c>
      <c r="C390" s="19" t="str">
        <f t="shared" si="18"/>
        <v>2026</v>
      </c>
      <c r="D390" s="25" t="s">
        <v>206</v>
      </c>
      <c r="E390" s="25" t="s">
        <v>22</v>
      </c>
      <c r="F390" s="25" t="s">
        <v>158</v>
      </c>
      <c r="G390" s="24">
        <v>500</v>
      </c>
      <c r="H390" s="19" t="str">
        <f>IF(LEN(G390)=0,"",VLOOKUP(G390,Issues!A:D,2,FALSE))</f>
        <v>(500) Baja / Cancelacion</v>
      </c>
      <c r="I390" s="20" t="str">
        <f>IF(LEN(G390)=0,"",VLOOKUP(G390,Issues!A:D,3,FALSE))</f>
        <v>Baja con éxito.</v>
      </c>
      <c r="J390" s="19" t="str">
        <f>IF(LEN(G390)=0,"",VLOOKUP(G390,Issues!A:D,4,FALSE))</f>
        <v>Prueba OK</v>
      </c>
      <c r="K390" s="21" t="str">
        <f t="shared" si="20"/>
        <v>OK</v>
      </c>
    </row>
    <row r="391" spans="1:11" x14ac:dyDescent="0.35">
      <c r="A391" s="23">
        <v>46090</v>
      </c>
      <c r="B391" s="19" t="str">
        <f t="shared" si="19"/>
        <v>marzo</v>
      </c>
      <c r="C391" s="19" t="str">
        <f t="shared" si="18"/>
        <v>2026</v>
      </c>
      <c r="D391" s="25" t="s">
        <v>207</v>
      </c>
      <c r="E391" s="25" t="s">
        <v>20</v>
      </c>
      <c r="F391" s="25" t="s">
        <v>190</v>
      </c>
      <c r="G391" s="24">
        <v>504</v>
      </c>
      <c r="H391" s="19" t="str">
        <f>IF(LEN(G391)=0,"",VLOOKUP(G391,Issues!A:D,2,FALSE))</f>
        <v>(500) Baja / Cancelacion</v>
      </c>
      <c r="I391" s="20" t="str">
        <f>IF(LEN(G391)=0,"",VLOOKUP(G391,Issues!A:D,3,FALSE))</f>
        <v>No funciona la baja desde la lp.</v>
      </c>
      <c r="J391" s="19" t="str">
        <f>IF(LEN(G391)=0,"",VLOOKUP(G391,Issues!A:D,4,FALSE))</f>
        <v>Critico</v>
      </c>
      <c r="K391" s="21" t="str">
        <f t="shared" si="20"/>
        <v>Issue</v>
      </c>
    </row>
    <row r="392" spans="1:11" x14ac:dyDescent="0.35">
      <c r="A392" s="23">
        <v>46071</v>
      </c>
      <c r="B392" s="19" t="str">
        <f t="shared" si="19"/>
        <v>febrero</v>
      </c>
      <c r="C392" s="19" t="str">
        <f t="shared" si="18"/>
        <v>2026</v>
      </c>
      <c r="D392" s="25" t="s">
        <v>207</v>
      </c>
      <c r="E392" s="25" t="s">
        <v>18</v>
      </c>
      <c r="F392" s="25" t="s">
        <v>183</v>
      </c>
      <c r="G392" s="24">
        <v>802</v>
      </c>
      <c r="H392" s="19" t="str">
        <f>IF(LEN(G392)=0,"",VLOOKUP(G392,Issues!A:D,2,FALSE))</f>
        <v>(800) Politicas especiales operadores</v>
      </c>
      <c r="I392" s="20" t="str">
        <f>IF(LEN(G392)=0,"",VLOOKUP(G392,Issues!A:D,3,FALSE))</f>
        <v>Falla en colilla legal con info del cp.</v>
      </c>
      <c r="J392" s="19" t="str">
        <f>IF(LEN(G392)=0,"",VLOOKUP(G392,Issues!A:D,4,FALSE))</f>
        <v>Critico</v>
      </c>
      <c r="K392" s="21" t="str">
        <f t="shared" si="20"/>
        <v>Issue</v>
      </c>
    </row>
    <row r="393" spans="1:11" x14ac:dyDescent="0.35">
      <c r="A393" s="23">
        <v>46060</v>
      </c>
      <c r="B393" s="19" t="str">
        <f t="shared" si="19"/>
        <v>febrero</v>
      </c>
      <c r="C393" s="19" t="str">
        <f t="shared" si="18"/>
        <v>2026</v>
      </c>
      <c r="D393" s="25" t="s">
        <v>208</v>
      </c>
      <c r="E393" s="25" t="s">
        <v>12</v>
      </c>
      <c r="F393" s="25" t="s">
        <v>168</v>
      </c>
      <c r="G393" s="24">
        <v>300</v>
      </c>
      <c r="H393" s="19" t="str">
        <f>IF(LEN(G393)=0,"",VLOOKUP(G393,Issues!A:D,2,FALSE))</f>
        <v>(300) Cobros</v>
      </c>
      <c r="I393" s="20" t="str">
        <f>IF(LEN(G393)=0,"",VLOOKUP(G393,Issues!A:D,3,FALSE))</f>
        <v>Cobro en valor y forma correcto.</v>
      </c>
      <c r="J393" s="19" t="str">
        <f>IF(LEN(G393)=0,"",VLOOKUP(G393,Issues!A:D,4,FALSE))</f>
        <v>Prueba OK</v>
      </c>
      <c r="K393" s="21" t="str">
        <f t="shared" si="20"/>
        <v>OK</v>
      </c>
    </row>
    <row r="394" spans="1:11" x14ac:dyDescent="0.35">
      <c r="A394" s="23">
        <v>46082</v>
      </c>
      <c r="B394" s="19" t="str">
        <f t="shared" si="19"/>
        <v>marzo</v>
      </c>
      <c r="C394" s="19" t="str">
        <f t="shared" si="18"/>
        <v>2026</v>
      </c>
      <c r="D394" s="25" t="s">
        <v>206</v>
      </c>
      <c r="E394" s="25" t="s">
        <v>25</v>
      </c>
      <c r="F394" s="25" t="s">
        <v>199</v>
      </c>
      <c r="G394" s="24">
        <v>704</v>
      </c>
      <c r="H394" s="19" t="str">
        <f>IF(LEN(G394)=0,"",VLOOKUP(G394,Issues!A:D,2,FALSE))</f>
        <v>(700) Interaccion MO/MT (On Demand)</v>
      </c>
      <c r="I394" s="20" t="str">
        <f>IF(LEN(G394)=0,"",VLOOKUP(G394,Issues!A:D,3,FALSE))</f>
        <v>Fallas en puntajes, trivias, creditos, etc.</v>
      </c>
      <c r="J394" s="19" t="str">
        <f>IF(LEN(G394)=0,"",VLOOKUP(G394,Issues!A:D,4,FALSE))</f>
        <v>Critico</v>
      </c>
      <c r="K394" s="21" t="str">
        <f t="shared" si="20"/>
        <v>Issue</v>
      </c>
    </row>
    <row r="395" spans="1:11" x14ac:dyDescent="0.35">
      <c r="A395" s="23">
        <v>46095</v>
      </c>
      <c r="B395" s="19" t="str">
        <f t="shared" si="19"/>
        <v>marzo</v>
      </c>
      <c r="C395" s="19" t="str">
        <f t="shared" si="18"/>
        <v>2026</v>
      </c>
      <c r="D395" s="25" t="s">
        <v>206</v>
      </c>
      <c r="E395" s="25" t="s">
        <v>26</v>
      </c>
      <c r="F395" s="25" t="s">
        <v>156</v>
      </c>
      <c r="G395" s="24">
        <v>207</v>
      </c>
      <c r="H395" s="19" t="str">
        <f>IF(LEN(G395)=0,"",VLOOKUP(G395,Issues!A:D,2,FALSE))</f>
        <v>(200) Contenidos</v>
      </c>
      <c r="I395" s="20" t="str">
        <f>IF(LEN(G395)=0,"",VLOOKUP(G395,Issues!A:D,3,FALSE))</f>
        <v>Contenido repetido.</v>
      </c>
      <c r="J395" s="19" t="str">
        <f>IF(LEN(G395)=0,"",VLOOKUP(G395,Issues!A:D,4,FALSE))</f>
        <v>Medio</v>
      </c>
      <c r="K395" s="21" t="str">
        <f t="shared" si="20"/>
        <v>Issue</v>
      </c>
    </row>
    <row r="396" spans="1:11" x14ac:dyDescent="0.35">
      <c r="A396" s="23">
        <v>46061</v>
      </c>
      <c r="B396" s="19" t="str">
        <f t="shared" si="19"/>
        <v>febrero</v>
      </c>
      <c r="C396" s="19" t="str">
        <f t="shared" si="18"/>
        <v>2026</v>
      </c>
      <c r="D396" s="25" t="s">
        <v>207</v>
      </c>
      <c r="E396" s="25" t="s">
        <v>27</v>
      </c>
      <c r="F396" s="25" t="s">
        <v>200</v>
      </c>
      <c r="G396" s="24">
        <v>207</v>
      </c>
      <c r="H396" s="19" t="str">
        <f>IF(LEN(G396)=0,"",VLOOKUP(G396,Issues!A:D,2,FALSE))</f>
        <v>(200) Contenidos</v>
      </c>
      <c r="I396" s="20" t="str">
        <f>IF(LEN(G396)=0,"",VLOOKUP(G396,Issues!A:D,3,FALSE))</f>
        <v>Contenido repetido.</v>
      </c>
      <c r="J396" s="19" t="str">
        <f>IF(LEN(G396)=0,"",VLOOKUP(G396,Issues!A:D,4,FALSE))</f>
        <v>Medio</v>
      </c>
      <c r="K396" s="21" t="str">
        <f t="shared" si="20"/>
        <v>Issue</v>
      </c>
    </row>
    <row r="397" spans="1:11" x14ac:dyDescent="0.35">
      <c r="A397" s="23">
        <v>46064</v>
      </c>
      <c r="B397" s="19" t="str">
        <f t="shared" si="19"/>
        <v>febrero</v>
      </c>
      <c r="C397" s="19" t="str">
        <f t="shared" si="18"/>
        <v>2026</v>
      </c>
      <c r="D397" s="25" t="s">
        <v>206</v>
      </c>
      <c r="E397" s="25" t="s">
        <v>25</v>
      </c>
      <c r="F397" s="25" t="s">
        <v>197</v>
      </c>
      <c r="G397" s="24">
        <v>800</v>
      </c>
      <c r="H397" s="19" t="str">
        <f>IF(LEN(G397)=0,"",VLOOKUP(G397,Issues!A:D,2,FALSE))</f>
        <v>(800) Politicas especiales operadores</v>
      </c>
      <c r="I397" s="20" t="str">
        <f>IF(LEN(G397)=0,"",VLOOKUP(G397,Issues!A:D,3,FALSE))</f>
        <v>Politicas de los operadores cumplidas.</v>
      </c>
      <c r="J397" s="19" t="str">
        <f>IF(LEN(G397)=0,"",VLOOKUP(G397,Issues!A:D,4,FALSE))</f>
        <v>Prueba OK</v>
      </c>
      <c r="K397" s="21" t="str">
        <f t="shared" si="20"/>
        <v>OK</v>
      </c>
    </row>
    <row r="398" spans="1:11" x14ac:dyDescent="0.35">
      <c r="A398" s="23">
        <v>46153</v>
      </c>
      <c r="B398" s="19" t="str">
        <f t="shared" si="19"/>
        <v>mayo</v>
      </c>
      <c r="C398" s="19" t="str">
        <f t="shared" si="18"/>
        <v>2026</v>
      </c>
      <c r="D398" s="25" t="s">
        <v>206</v>
      </c>
      <c r="E398" s="25" t="s">
        <v>14</v>
      </c>
      <c r="F398" s="25" t="s">
        <v>171</v>
      </c>
      <c r="G398" s="24">
        <v>300</v>
      </c>
      <c r="H398" s="19" t="str">
        <f>IF(LEN(G398)=0,"",VLOOKUP(G398,Issues!A:D,2,FALSE))</f>
        <v>(300) Cobros</v>
      </c>
      <c r="I398" s="20" t="str">
        <f>IF(LEN(G398)=0,"",VLOOKUP(G398,Issues!A:D,3,FALSE))</f>
        <v>Cobro en valor y forma correcto.</v>
      </c>
      <c r="J398" s="19" t="str">
        <f>IF(LEN(G398)=0,"",VLOOKUP(G398,Issues!A:D,4,FALSE))</f>
        <v>Prueba OK</v>
      </c>
      <c r="K398" s="21" t="str">
        <f t="shared" si="20"/>
        <v>OK</v>
      </c>
    </row>
    <row r="399" spans="1:11" x14ac:dyDescent="0.35">
      <c r="A399" s="23">
        <v>46031</v>
      </c>
      <c r="B399" s="19" t="str">
        <f t="shared" si="19"/>
        <v>enero</v>
      </c>
      <c r="C399" s="19" t="str">
        <f t="shared" si="18"/>
        <v>2026</v>
      </c>
      <c r="D399" s="25" t="s">
        <v>206</v>
      </c>
      <c r="E399" s="25" t="s">
        <v>13</v>
      </c>
      <c r="F399" s="25" t="s">
        <v>153</v>
      </c>
      <c r="G399" s="24">
        <v>300</v>
      </c>
      <c r="H399" s="19" t="str">
        <f>IF(LEN(G399)=0,"",VLOOKUP(G399,Issues!A:D,2,FALSE))</f>
        <v>(300) Cobros</v>
      </c>
      <c r="I399" s="20" t="str">
        <f>IF(LEN(G399)=0,"",VLOOKUP(G399,Issues!A:D,3,FALSE))</f>
        <v>Cobro en valor y forma correcto.</v>
      </c>
      <c r="J399" s="19" t="str">
        <f>IF(LEN(G399)=0,"",VLOOKUP(G399,Issues!A:D,4,FALSE))</f>
        <v>Prueba OK</v>
      </c>
      <c r="K399" s="21" t="str">
        <f t="shared" si="20"/>
        <v>OK</v>
      </c>
    </row>
    <row r="400" spans="1:11" x14ac:dyDescent="0.35">
      <c r="A400" s="23">
        <v>46023</v>
      </c>
      <c r="B400" s="19" t="str">
        <f t="shared" si="19"/>
        <v>enero</v>
      </c>
      <c r="C400" s="19" t="str">
        <f t="shared" si="18"/>
        <v>2026</v>
      </c>
      <c r="D400" s="25" t="s">
        <v>207</v>
      </c>
      <c r="E400" s="25" t="s">
        <v>14</v>
      </c>
      <c r="F400" s="25" t="s">
        <v>171</v>
      </c>
      <c r="G400" s="24">
        <v>504</v>
      </c>
      <c r="H400" s="19" t="str">
        <f>IF(LEN(G400)=0,"",VLOOKUP(G400,Issues!A:D,2,FALSE))</f>
        <v>(500) Baja / Cancelacion</v>
      </c>
      <c r="I400" s="20" t="str">
        <f>IF(LEN(G400)=0,"",VLOOKUP(G400,Issues!A:D,3,FALSE))</f>
        <v>No funciona la baja desde la lp.</v>
      </c>
      <c r="J400" s="19" t="str">
        <f>IF(LEN(G400)=0,"",VLOOKUP(G400,Issues!A:D,4,FALSE))</f>
        <v>Critico</v>
      </c>
      <c r="K400" s="21" t="str">
        <f t="shared" si="20"/>
        <v>Issue</v>
      </c>
    </row>
    <row r="401" spans="1:11" x14ac:dyDescent="0.35">
      <c r="A401" s="23">
        <v>46120</v>
      </c>
      <c r="B401" s="19" t="str">
        <f t="shared" si="19"/>
        <v>abril</v>
      </c>
      <c r="C401" s="19" t="str">
        <f t="shared" si="18"/>
        <v>2026</v>
      </c>
      <c r="D401" s="25" t="s">
        <v>207</v>
      </c>
      <c r="E401" s="25" t="s">
        <v>27</v>
      </c>
      <c r="F401" s="25" t="s">
        <v>202</v>
      </c>
      <c r="G401" s="24">
        <v>207</v>
      </c>
      <c r="H401" s="19" t="str">
        <f>IF(LEN(G401)=0,"",VLOOKUP(G401,Issues!A:D,2,FALSE))</f>
        <v>(200) Contenidos</v>
      </c>
      <c r="I401" s="20" t="str">
        <f>IF(LEN(G401)=0,"",VLOOKUP(G401,Issues!A:D,3,FALSE))</f>
        <v>Contenido repetido.</v>
      </c>
      <c r="J401" s="19" t="str">
        <f>IF(LEN(G401)=0,"",VLOOKUP(G401,Issues!A:D,4,FALSE))</f>
        <v>Medio</v>
      </c>
      <c r="K401" s="21" t="str">
        <f t="shared" si="20"/>
        <v>Issue</v>
      </c>
    </row>
    <row r="402" spans="1:11" x14ac:dyDescent="0.35">
      <c r="A402" s="23">
        <v>46052</v>
      </c>
      <c r="B402" s="19" t="str">
        <f t="shared" si="19"/>
        <v>enero</v>
      </c>
      <c r="C402" s="19" t="str">
        <f t="shared" si="18"/>
        <v>2026</v>
      </c>
      <c r="D402" s="25" t="s">
        <v>207</v>
      </c>
      <c r="E402" s="25" t="s">
        <v>17</v>
      </c>
      <c r="F402" s="25" t="s">
        <v>181</v>
      </c>
      <c r="G402" s="24">
        <v>307</v>
      </c>
      <c r="H402" s="19" t="str">
        <f>IF(LEN(G402)=0,"",VLOOKUP(G402,Issues!A:D,2,FALSE))</f>
        <v>(300) Cobros</v>
      </c>
      <c r="I402" s="20" t="str">
        <f>IF(LEN(G402)=0,"",VLOOKUP(G402,Issues!A:D,3,FALSE))</f>
        <v>Inconsistencias con el cobro escalonado.</v>
      </c>
      <c r="J402" s="19" t="str">
        <f>IF(LEN(G402)=0,"",VLOOKUP(G402,Issues!A:D,4,FALSE))</f>
        <v>Critico</v>
      </c>
      <c r="K402" s="21" t="str">
        <f t="shared" si="20"/>
        <v>Issue</v>
      </c>
    </row>
    <row r="403" spans="1:11" x14ac:dyDescent="0.35">
      <c r="A403" s="23">
        <v>46070</v>
      </c>
      <c r="B403" s="19" t="str">
        <f t="shared" si="19"/>
        <v>febrero</v>
      </c>
      <c r="C403" s="19" t="str">
        <f t="shared" ref="C403:C466" si="21">IF(LEN(A403)=0,"",TEXT(A403,"aaaa"))</f>
        <v>2026</v>
      </c>
      <c r="D403" s="25" t="s">
        <v>207</v>
      </c>
      <c r="E403" s="25" t="s">
        <v>12</v>
      </c>
      <c r="F403" s="25" t="s">
        <v>168</v>
      </c>
      <c r="G403" s="24">
        <v>404</v>
      </c>
      <c r="H403" s="19" t="str">
        <f>IF(LEN(G403)=0,"",VLOOKUP(G403,Issues!A:D,2,FALSE))</f>
        <v>(400) Portales / Web-App</v>
      </c>
      <c r="I403" s="20" t="str">
        <f>IF(LEN(G403)=0,"",VLOOKUP(G403,Issues!A:D,3,FALSE))</f>
        <v>No cumple las politicas de estructura del operador.</v>
      </c>
      <c r="J403" s="19" t="str">
        <f>IF(LEN(G403)=0,"",VLOOKUP(G403,Issues!A:D,4,FALSE))</f>
        <v>Critico</v>
      </c>
      <c r="K403" s="21" t="str">
        <f t="shared" si="20"/>
        <v>Issue</v>
      </c>
    </row>
    <row r="404" spans="1:11" x14ac:dyDescent="0.35">
      <c r="A404" s="23">
        <v>46031</v>
      </c>
      <c r="B404" s="19" t="str">
        <f t="shared" si="19"/>
        <v>enero</v>
      </c>
      <c r="C404" s="19" t="str">
        <f t="shared" si="21"/>
        <v>2026</v>
      </c>
      <c r="D404" s="25" t="s">
        <v>207</v>
      </c>
      <c r="E404" s="25" t="s">
        <v>13</v>
      </c>
      <c r="F404" s="25" t="s">
        <v>157</v>
      </c>
      <c r="G404" s="24">
        <v>300</v>
      </c>
      <c r="H404" s="19" t="str">
        <f>IF(LEN(G404)=0,"",VLOOKUP(G404,Issues!A:D,2,FALSE))</f>
        <v>(300) Cobros</v>
      </c>
      <c r="I404" s="20" t="str">
        <f>IF(LEN(G404)=0,"",VLOOKUP(G404,Issues!A:D,3,FALSE))</f>
        <v>Cobro en valor y forma correcto.</v>
      </c>
      <c r="J404" s="19" t="str">
        <f>IF(LEN(G404)=0,"",VLOOKUP(G404,Issues!A:D,4,FALSE))</f>
        <v>Prueba OK</v>
      </c>
      <c r="K404" s="21" t="str">
        <f t="shared" si="20"/>
        <v>OK</v>
      </c>
    </row>
    <row r="405" spans="1:11" x14ac:dyDescent="0.35">
      <c r="A405" s="23">
        <v>46105</v>
      </c>
      <c r="B405" s="19" t="str">
        <f t="shared" si="19"/>
        <v>marzo</v>
      </c>
      <c r="C405" s="19" t="str">
        <f t="shared" si="21"/>
        <v>2026</v>
      </c>
      <c r="D405" s="25" t="s">
        <v>207</v>
      </c>
      <c r="E405" s="25" t="s">
        <v>14</v>
      </c>
      <c r="F405" s="25" t="s">
        <v>171</v>
      </c>
      <c r="G405" s="24">
        <v>301</v>
      </c>
      <c r="H405" s="19" t="str">
        <f>IF(LEN(G405)=0,"",VLOOKUP(G405,Issues!A:D,2,FALSE))</f>
        <v>(300) Cobros</v>
      </c>
      <c r="I405" s="20" t="str">
        <f>IF(LEN(G405)=0,"",VLOOKUP(G405,Issues!A:D,3,FALSE))</f>
        <v>No llego contenido (si hubo cobro).</v>
      </c>
      <c r="J405" s="19" t="str">
        <f>IF(LEN(G405)=0,"",VLOOKUP(G405,Issues!A:D,4,FALSE))</f>
        <v>Critico</v>
      </c>
      <c r="K405" s="21" t="str">
        <f t="shared" si="20"/>
        <v>Issue</v>
      </c>
    </row>
    <row r="406" spans="1:11" x14ac:dyDescent="0.35">
      <c r="A406" s="23">
        <v>46138</v>
      </c>
      <c r="B406" s="19" t="str">
        <f t="shared" si="19"/>
        <v>abril</v>
      </c>
      <c r="C406" s="19" t="str">
        <f t="shared" si="21"/>
        <v>2026</v>
      </c>
      <c r="D406" s="25" t="s">
        <v>206</v>
      </c>
      <c r="E406" s="25" t="s">
        <v>23</v>
      </c>
      <c r="F406" s="25" t="s">
        <v>195</v>
      </c>
      <c r="G406" s="24">
        <v>701</v>
      </c>
      <c r="H406" s="19" t="str">
        <f>IF(LEN(G406)=0,"",VLOOKUP(G406,Issues!A:D,2,FALSE))</f>
        <v>(700) Interaccion MO/MT (On Demand)</v>
      </c>
      <c r="I406" s="20" t="str">
        <f>IF(LEN(G406)=0,"",VLOOKUP(G406,Issues!A:D,3,FALSE))</f>
        <v>No envia el mo.</v>
      </c>
      <c r="J406" s="19" t="str">
        <f>IF(LEN(G406)=0,"",VLOOKUP(G406,Issues!A:D,4,FALSE))</f>
        <v>Critico</v>
      </c>
      <c r="K406" s="21" t="str">
        <f t="shared" si="20"/>
        <v>Issue</v>
      </c>
    </row>
    <row r="407" spans="1:11" x14ac:dyDescent="0.35">
      <c r="A407" s="23">
        <v>46134</v>
      </c>
      <c r="B407" s="19" t="str">
        <f t="shared" si="19"/>
        <v>abril</v>
      </c>
      <c r="C407" s="19" t="str">
        <f t="shared" si="21"/>
        <v>2026</v>
      </c>
      <c r="D407" s="25" t="s">
        <v>208</v>
      </c>
      <c r="E407" s="25" t="s">
        <v>10</v>
      </c>
      <c r="F407" s="25" t="s">
        <v>162</v>
      </c>
      <c r="G407" s="24">
        <v>506</v>
      </c>
      <c r="H407" s="19" t="str">
        <f>IF(LEN(G407)=0,"",VLOOKUP(G407,Issues!A:D,2,FALSE))</f>
        <v>(500) Baja / Cancelacion</v>
      </c>
      <c r="I407" s="20" t="str">
        <f>IF(LEN(G407)=0,"",VLOOKUP(G407,Issues!A:D,3,FALSE))</f>
        <v>No funciona la baja desde ivr.</v>
      </c>
      <c r="J407" s="19" t="str">
        <f>IF(LEN(G407)=0,"",VLOOKUP(G407,Issues!A:D,4,FALSE))</f>
        <v>Critico</v>
      </c>
      <c r="K407" s="21" t="str">
        <f t="shared" si="20"/>
        <v>Issue</v>
      </c>
    </row>
    <row r="408" spans="1:11" x14ac:dyDescent="0.35">
      <c r="A408" s="23">
        <v>46157</v>
      </c>
      <c r="B408" s="19" t="str">
        <f t="shared" si="19"/>
        <v>mayo</v>
      </c>
      <c r="C408" s="19" t="str">
        <f t="shared" si="21"/>
        <v>2026</v>
      </c>
      <c r="D408" s="25" t="s">
        <v>207</v>
      </c>
      <c r="E408" s="25" t="s">
        <v>13</v>
      </c>
      <c r="F408" s="25" t="s">
        <v>157</v>
      </c>
      <c r="G408" s="24">
        <v>701</v>
      </c>
      <c r="H408" s="19" t="str">
        <f>IF(LEN(G408)=0,"",VLOOKUP(G408,Issues!A:D,2,FALSE))</f>
        <v>(700) Interaccion MO/MT (On Demand)</v>
      </c>
      <c r="I408" s="20" t="str">
        <f>IF(LEN(G408)=0,"",VLOOKUP(G408,Issues!A:D,3,FALSE))</f>
        <v>No envia el mo.</v>
      </c>
      <c r="J408" s="19" t="str">
        <f>IF(LEN(G408)=0,"",VLOOKUP(G408,Issues!A:D,4,FALSE))</f>
        <v>Critico</v>
      </c>
      <c r="K408" s="21" t="str">
        <f t="shared" si="20"/>
        <v>Issue</v>
      </c>
    </row>
    <row r="409" spans="1:11" x14ac:dyDescent="0.35">
      <c r="A409" s="23">
        <v>46065</v>
      </c>
      <c r="B409" s="19" t="str">
        <f t="shared" si="19"/>
        <v>febrero</v>
      </c>
      <c r="C409" s="19" t="str">
        <f t="shared" si="21"/>
        <v>2026</v>
      </c>
      <c r="D409" s="25" t="s">
        <v>206</v>
      </c>
      <c r="E409" s="25" t="s">
        <v>26</v>
      </c>
      <c r="F409" s="25" t="s">
        <v>152</v>
      </c>
      <c r="G409" s="24">
        <v>300</v>
      </c>
      <c r="H409" s="19" t="str">
        <f>IF(LEN(G409)=0,"",VLOOKUP(G409,Issues!A:D,2,FALSE))</f>
        <v>(300) Cobros</v>
      </c>
      <c r="I409" s="20" t="str">
        <f>IF(LEN(G409)=0,"",VLOOKUP(G409,Issues!A:D,3,FALSE))</f>
        <v>Cobro en valor y forma correcto.</v>
      </c>
      <c r="J409" s="19" t="str">
        <f>IF(LEN(G409)=0,"",VLOOKUP(G409,Issues!A:D,4,FALSE))</f>
        <v>Prueba OK</v>
      </c>
      <c r="K409" s="21" t="str">
        <f t="shared" si="20"/>
        <v>OK</v>
      </c>
    </row>
    <row r="410" spans="1:11" x14ac:dyDescent="0.35">
      <c r="A410" s="23">
        <v>46097</v>
      </c>
      <c r="B410" s="19" t="str">
        <f t="shared" si="19"/>
        <v>marzo</v>
      </c>
      <c r="C410" s="19" t="str">
        <f t="shared" si="21"/>
        <v>2026</v>
      </c>
      <c r="D410" s="25" t="s">
        <v>210</v>
      </c>
      <c r="E410" s="25" t="s">
        <v>12</v>
      </c>
      <c r="F410" s="25" t="s">
        <v>169</v>
      </c>
      <c r="G410" s="24">
        <v>400</v>
      </c>
      <c r="H410" s="19" t="str">
        <f>IF(LEN(G410)=0,"",VLOOKUP(G410,Issues!A:D,2,FALSE))</f>
        <v>(400) Portales / Web-App</v>
      </c>
      <c r="I410" s="20" t="str">
        <f>IF(LEN(G410)=0,"",VLOOKUP(G410,Issues!A:D,3,FALSE))</f>
        <v>Portal evaluado con éxito.</v>
      </c>
      <c r="J410" s="19" t="str">
        <f>IF(LEN(G410)=0,"",VLOOKUP(G410,Issues!A:D,4,FALSE))</f>
        <v>Prueba OK</v>
      </c>
      <c r="K410" s="21" t="str">
        <f t="shared" si="20"/>
        <v>OK</v>
      </c>
    </row>
    <row r="411" spans="1:11" x14ac:dyDescent="0.35">
      <c r="A411" s="23">
        <v>46026</v>
      </c>
      <c r="B411" s="19" t="str">
        <f t="shared" si="19"/>
        <v>enero</v>
      </c>
      <c r="C411" s="19" t="str">
        <f t="shared" si="21"/>
        <v>2026</v>
      </c>
      <c r="D411" s="25" t="s">
        <v>207</v>
      </c>
      <c r="E411" s="25" t="s">
        <v>26</v>
      </c>
      <c r="F411" s="25" t="s">
        <v>160</v>
      </c>
      <c r="G411" s="24">
        <v>505</v>
      </c>
      <c r="H411" s="19" t="str">
        <f>IF(LEN(G411)=0,"",VLOOKUP(G411,Issues!A:D,2,FALSE))</f>
        <v>(500) Baja / Cancelacion</v>
      </c>
      <c r="I411" s="20" t="str">
        <f>IF(LEN(G411)=0,"",VLOOKUP(G411,Issues!A:D,3,FALSE))</f>
        <v>No funciona la baja desde tienda.</v>
      </c>
      <c r="J411" s="19" t="str">
        <f>IF(LEN(G411)=0,"",VLOOKUP(G411,Issues!A:D,4,FALSE))</f>
        <v>Critico</v>
      </c>
      <c r="K411" s="21" t="str">
        <f t="shared" si="20"/>
        <v>Issue</v>
      </c>
    </row>
    <row r="412" spans="1:11" x14ac:dyDescent="0.35">
      <c r="A412" s="23">
        <v>46100</v>
      </c>
      <c r="B412" s="19" t="str">
        <f t="shared" si="19"/>
        <v>marzo</v>
      </c>
      <c r="C412" s="19" t="str">
        <f t="shared" si="21"/>
        <v>2026</v>
      </c>
      <c r="D412" s="25" t="s">
        <v>208</v>
      </c>
      <c r="E412" s="25" t="s">
        <v>13</v>
      </c>
      <c r="F412" s="25" t="s">
        <v>149</v>
      </c>
      <c r="G412" s="24">
        <v>100</v>
      </c>
      <c r="H412" s="19" t="str">
        <f>IF(LEN(G412)=0,"",VLOOKUP(G412,Issues!A:D,2,FALSE))</f>
        <v>(100)  Alta</v>
      </c>
      <c r="I412" s="20" t="str">
        <f>IF(LEN(G412)=0,"",VLOOKUP(G412,Issues!A:D,3,FALSE))</f>
        <v>Alta con éxito.</v>
      </c>
      <c r="J412" s="19" t="str">
        <f>IF(LEN(G412)=0,"",VLOOKUP(G412,Issues!A:D,4,FALSE))</f>
        <v>Prueba OK</v>
      </c>
      <c r="K412" s="21" t="str">
        <f t="shared" si="20"/>
        <v>OK</v>
      </c>
    </row>
    <row r="413" spans="1:11" x14ac:dyDescent="0.35">
      <c r="A413" s="23">
        <v>46106</v>
      </c>
      <c r="B413" s="19" t="str">
        <f t="shared" si="19"/>
        <v>marzo</v>
      </c>
      <c r="C413" s="19" t="str">
        <f t="shared" si="21"/>
        <v>2026</v>
      </c>
      <c r="D413" s="25" t="s">
        <v>207</v>
      </c>
      <c r="E413" s="25" t="s">
        <v>21</v>
      </c>
      <c r="F413" s="25" t="s">
        <v>191</v>
      </c>
      <c r="G413" s="24">
        <v>702</v>
      </c>
      <c r="H413" s="19" t="str">
        <f>IF(LEN(G413)=0,"",VLOOKUP(G413,Issues!A:D,2,FALSE))</f>
        <v>(700) Interaccion MO/MT (On Demand)</v>
      </c>
      <c r="I413" s="20" t="str">
        <f>IF(LEN(G413)=0,"",VLOOKUP(G413,Issues!A:D,3,FALSE))</f>
        <v>No se recibe mt.</v>
      </c>
      <c r="J413" s="19" t="str">
        <f>IF(LEN(G413)=0,"",VLOOKUP(G413,Issues!A:D,4,FALSE))</f>
        <v>Critico</v>
      </c>
      <c r="K413" s="21" t="str">
        <f t="shared" si="20"/>
        <v>Issue</v>
      </c>
    </row>
    <row r="414" spans="1:11" x14ac:dyDescent="0.35">
      <c r="A414" s="23">
        <v>46106</v>
      </c>
      <c r="B414" s="19" t="str">
        <f t="shared" si="19"/>
        <v>marzo</v>
      </c>
      <c r="C414" s="19" t="str">
        <f t="shared" si="21"/>
        <v>2026</v>
      </c>
      <c r="D414" s="25" t="s">
        <v>206</v>
      </c>
      <c r="E414" s="25" t="s">
        <v>24</v>
      </c>
      <c r="F414" s="25" t="s">
        <v>159</v>
      </c>
      <c r="G414" s="24">
        <v>800</v>
      </c>
      <c r="H414" s="19" t="str">
        <f>IF(LEN(G414)=0,"",VLOOKUP(G414,Issues!A:D,2,FALSE))</f>
        <v>(800) Politicas especiales operadores</v>
      </c>
      <c r="I414" s="20" t="str">
        <f>IF(LEN(G414)=0,"",VLOOKUP(G414,Issues!A:D,3,FALSE))</f>
        <v>Politicas de los operadores cumplidas.</v>
      </c>
      <c r="J414" s="19" t="str">
        <f>IF(LEN(G414)=0,"",VLOOKUP(G414,Issues!A:D,4,FALSE))</f>
        <v>Prueba OK</v>
      </c>
      <c r="K414" s="21" t="str">
        <f t="shared" si="20"/>
        <v>OK</v>
      </c>
    </row>
    <row r="415" spans="1:11" x14ac:dyDescent="0.35">
      <c r="A415" s="23">
        <v>46069</v>
      </c>
      <c r="B415" s="19" t="str">
        <f t="shared" si="19"/>
        <v>febrero</v>
      </c>
      <c r="C415" s="19" t="str">
        <f t="shared" si="21"/>
        <v>2026</v>
      </c>
      <c r="D415" s="25" t="s">
        <v>207</v>
      </c>
      <c r="E415" s="25" t="s">
        <v>24</v>
      </c>
      <c r="F415" s="25" t="s">
        <v>151</v>
      </c>
      <c r="G415" s="24">
        <v>500</v>
      </c>
      <c r="H415" s="19" t="str">
        <f>IF(LEN(G415)=0,"",VLOOKUP(G415,Issues!A:D,2,FALSE))</f>
        <v>(500) Baja / Cancelacion</v>
      </c>
      <c r="I415" s="20" t="str">
        <f>IF(LEN(G415)=0,"",VLOOKUP(G415,Issues!A:D,3,FALSE))</f>
        <v>Baja con éxito.</v>
      </c>
      <c r="J415" s="19" t="str">
        <f>IF(LEN(G415)=0,"",VLOOKUP(G415,Issues!A:D,4,FALSE))</f>
        <v>Prueba OK</v>
      </c>
      <c r="K415" s="21" t="str">
        <f t="shared" si="20"/>
        <v>OK</v>
      </c>
    </row>
    <row r="416" spans="1:11" x14ac:dyDescent="0.35">
      <c r="A416" s="23">
        <v>46033</v>
      </c>
      <c r="B416" s="19" t="str">
        <f t="shared" si="19"/>
        <v>enero</v>
      </c>
      <c r="C416" s="19" t="str">
        <f t="shared" si="21"/>
        <v>2026</v>
      </c>
      <c r="D416" s="25" t="s">
        <v>207</v>
      </c>
      <c r="E416" s="25" t="s">
        <v>25</v>
      </c>
      <c r="F416" s="25" t="s">
        <v>198</v>
      </c>
      <c r="G416" s="24">
        <v>400</v>
      </c>
      <c r="H416" s="19" t="str">
        <f>IF(LEN(G416)=0,"",VLOOKUP(G416,Issues!A:D,2,FALSE))</f>
        <v>(400) Portales / Web-App</v>
      </c>
      <c r="I416" s="20" t="str">
        <f>IF(LEN(G416)=0,"",VLOOKUP(G416,Issues!A:D,3,FALSE))</f>
        <v>Portal evaluado con éxito.</v>
      </c>
      <c r="J416" s="19" t="str">
        <f>IF(LEN(G416)=0,"",VLOOKUP(G416,Issues!A:D,4,FALSE))</f>
        <v>Prueba OK</v>
      </c>
      <c r="K416" s="21" t="str">
        <f t="shared" si="20"/>
        <v>OK</v>
      </c>
    </row>
    <row r="417" spans="1:11" x14ac:dyDescent="0.35">
      <c r="A417" s="23">
        <v>46023</v>
      </c>
      <c r="B417" s="19" t="str">
        <f t="shared" si="19"/>
        <v>enero</v>
      </c>
      <c r="C417" s="19" t="str">
        <f t="shared" si="21"/>
        <v>2026</v>
      </c>
      <c r="D417" s="25" t="s">
        <v>206</v>
      </c>
      <c r="E417" s="25" t="s">
        <v>20</v>
      </c>
      <c r="F417" s="25" t="s">
        <v>188</v>
      </c>
      <c r="G417" s="24">
        <v>101</v>
      </c>
      <c r="H417" s="19" t="str">
        <f>IF(LEN(G417)=0,"",VLOOKUP(G417,Issues!A:D,2,FALSE))</f>
        <v>(100)  Alta</v>
      </c>
      <c r="I417" s="20" t="str">
        <f>IF(LEN(G417)=0,"",VLOOKUP(G417,Issues!A:D,3,FALSE))</f>
        <v>No se genero el alta - no hay respuesta al kw.</v>
      </c>
      <c r="J417" s="19" t="str">
        <f>IF(LEN(G417)=0,"",VLOOKUP(G417,Issues!A:D,4,FALSE))</f>
        <v>Critico</v>
      </c>
      <c r="K417" s="21" t="str">
        <f t="shared" si="20"/>
        <v>Issue</v>
      </c>
    </row>
    <row r="418" spans="1:11" x14ac:dyDescent="0.35">
      <c r="A418" s="23">
        <v>46126</v>
      </c>
      <c r="B418" s="19" t="str">
        <f t="shared" si="19"/>
        <v>abril</v>
      </c>
      <c r="C418" s="19" t="str">
        <f t="shared" si="21"/>
        <v>2026</v>
      </c>
      <c r="D418" s="25" t="s">
        <v>209</v>
      </c>
      <c r="E418" s="25" t="s">
        <v>10</v>
      </c>
      <c r="F418" s="25" t="s">
        <v>162</v>
      </c>
      <c r="G418" s="24">
        <v>800</v>
      </c>
      <c r="H418" s="19" t="str">
        <f>IF(LEN(G418)=0,"",VLOOKUP(G418,Issues!A:D,2,FALSE))</f>
        <v>(800) Politicas especiales operadores</v>
      </c>
      <c r="I418" s="20" t="str">
        <f>IF(LEN(G418)=0,"",VLOOKUP(G418,Issues!A:D,3,FALSE))</f>
        <v>Politicas de los operadores cumplidas.</v>
      </c>
      <c r="J418" s="19" t="str">
        <f>IF(LEN(G418)=0,"",VLOOKUP(G418,Issues!A:D,4,FALSE))</f>
        <v>Prueba OK</v>
      </c>
      <c r="K418" s="21" t="str">
        <f t="shared" si="20"/>
        <v>OK</v>
      </c>
    </row>
    <row r="419" spans="1:11" x14ac:dyDescent="0.35">
      <c r="A419" s="23">
        <v>46128</v>
      </c>
      <c r="B419" s="19" t="str">
        <f t="shared" si="19"/>
        <v>abril</v>
      </c>
      <c r="C419" s="19" t="str">
        <f t="shared" si="21"/>
        <v>2026</v>
      </c>
      <c r="D419" s="25" t="s">
        <v>207</v>
      </c>
      <c r="E419" s="25" t="s">
        <v>17</v>
      </c>
      <c r="F419" s="25" t="s">
        <v>181</v>
      </c>
      <c r="G419" s="24">
        <v>114</v>
      </c>
      <c r="H419" s="19" t="str">
        <f>IF(LEN(G419)=0,"",VLOOKUP(G419,Issues!A:D,2,FALSE))</f>
        <v>(100)  Alta</v>
      </c>
      <c r="I419" s="20" t="str">
        <f>IF(LEN(G419)=0,"",VLOOKUP(G419,Issues!A:D,3,FALSE))</f>
        <v>Falla en doble optin en sim.</v>
      </c>
      <c r="J419" s="19" t="str">
        <f>IF(LEN(G419)=0,"",VLOOKUP(G419,Issues!A:D,4,FALSE))</f>
        <v>Critico</v>
      </c>
      <c r="K419" s="21" t="str">
        <f t="shared" si="20"/>
        <v>Issue</v>
      </c>
    </row>
    <row r="420" spans="1:11" x14ac:dyDescent="0.35">
      <c r="A420" s="23">
        <v>46125</v>
      </c>
      <c r="B420" s="19" t="str">
        <f t="shared" si="19"/>
        <v>abril</v>
      </c>
      <c r="C420" s="19" t="str">
        <f t="shared" si="21"/>
        <v>2026</v>
      </c>
      <c r="D420" s="25" t="s">
        <v>206</v>
      </c>
      <c r="E420" s="25" t="s">
        <v>15</v>
      </c>
      <c r="F420" s="25" t="s">
        <v>173</v>
      </c>
      <c r="G420" s="24">
        <v>200</v>
      </c>
      <c r="H420" s="19" t="str">
        <f>IF(LEN(G420)=0,"",VLOOKUP(G420,Issues!A:D,2,FALSE))</f>
        <v>(200) Contenidos</v>
      </c>
      <c r="I420" s="20" t="str">
        <f>IF(LEN(G420)=0,"",VLOOKUP(G420,Issues!A:D,3,FALSE))</f>
        <v>Contenidos recibido con éxito.</v>
      </c>
      <c r="J420" s="19" t="str">
        <f>IF(LEN(G420)=0,"",VLOOKUP(G420,Issues!A:D,4,FALSE))</f>
        <v>Prueba OK</v>
      </c>
      <c r="K420" s="21" t="str">
        <f t="shared" si="20"/>
        <v>OK</v>
      </c>
    </row>
    <row r="421" spans="1:11" x14ac:dyDescent="0.35">
      <c r="A421" s="23">
        <v>46150</v>
      </c>
      <c r="B421" s="19" t="str">
        <f t="shared" si="19"/>
        <v>mayo</v>
      </c>
      <c r="C421" s="19" t="str">
        <f t="shared" si="21"/>
        <v>2026</v>
      </c>
      <c r="D421" s="25" t="s">
        <v>206</v>
      </c>
      <c r="E421" s="25" t="s">
        <v>16</v>
      </c>
      <c r="F421" s="25" t="s">
        <v>176</v>
      </c>
      <c r="G421" s="24">
        <v>300</v>
      </c>
      <c r="H421" s="19" t="str">
        <f>IF(LEN(G421)=0,"",VLOOKUP(G421,Issues!A:D,2,FALSE))</f>
        <v>(300) Cobros</v>
      </c>
      <c r="I421" s="20" t="str">
        <f>IF(LEN(G421)=0,"",VLOOKUP(G421,Issues!A:D,3,FALSE))</f>
        <v>Cobro en valor y forma correcto.</v>
      </c>
      <c r="J421" s="19" t="str">
        <f>IF(LEN(G421)=0,"",VLOOKUP(G421,Issues!A:D,4,FALSE))</f>
        <v>Prueba OK</v>
      </c>
      <c r="K421" s="21" t="str">
        <f t="shared" si="20"/>
        <v>OK</v>
      </c>
    </row>
    <row r="422" spans="1:11" x14ac:dyDescent="0.35">
      <c r="A422" s="23">
        <v>46047</v>
      </c>
      <c r="B422" s="19" t="str">
        <f t="shared" si="19"/>
        <v>enero</v>
      </c>
      <c r="C422" s="19" t="str">
        <f t="shared" si="21"/>
        <v>2026</v>
      </c>
      <c r="D422" s="25" t="s">
        <v>207</v>
      </c>
      <c r="E422" s="25" t="s">
        <v>12</v>
      </c>
      <c r="F422" s="25" t="s">
        <v>169</v>
      </c>
      <c r="G422" s="24">
        <v>113</v>
      </c>
      <c r="H422" s="19" t="str">
        <f>IF(LEN(G422)=0,"",VLOOKUP(G422,Issues!A:D,2,FALSE))</f>
        <v>(100)  Alta</v>
      </c>
      <c r="I422" s="20" t="str">
        <f>IF(LEN(G422)=0,"",VLOOKUP(G422,Issues!A:D,3,FALSE))</f>
        <v>Servicio suspendido.</v>
      </c>
      <c r="J422" s="19" t="str">
        <f>IF(LEN(G422)=0,"",VLOOKUP(G422,Issues!A:D,4,FALSE))</f>
        <v>Medio</v>
      </c>
      <c r="K422" s="21" t="str">
        <f t="shared" si="20"/>
        <v>Issue</v>
      </c>
    </row>
    <row r="423" spans="1:11" x14ac:dyDescent="0.35">
      <c r="A423" s="23">
        <v>46055</v>
      </c>
      <c r="B423" s="19" t="str">
        <f t="shared" si="19"/>
        <v>febrero</v>
      </c>
      <c r="C423" s="19" t="str">
        <f t="shared" si="21"/>
        <v>2026</v>
      </c>
      <c r="D423" s="25" t="s">
        <v>206</v>
      </c>
      <c r="E423" s="25" t="s">
        <v>19</v>
      </c>
      <c r="F423" s="25" t="s">
        <v>185</v>
      </c>
      <c r="G423" s="24">
        <v>307</v>
      </c>
      <c r="H423" s="19" t="str">
        <f>IF(LEN(G423)=0,"",VLOOKUP(G423,Issues!A:D,2,FALSE))</f>
        <v>(300) Cobros</v>
      </c>
      <c r="I423" s="20" t="str">
        <f>IF(LEN(G423)=0,"",VLOOKUP(G423,Issues!A:D,3,FALSE))</f>
        <v>Inconsistencias con el cobro escalonado.</v>
      </c>
      <c r="J423" s="19" t="str">
        <f>IF(LEN(G423)=0,"",VLOOKUP(G423,Issues!A:D,4,FALSE))</f>
        <v>Critico</v>
      </c>
      <c r="K423" s="21" t="str">
        <f t="shared" si="20"/>
        <v>Issue</v>
      </c>
    </row>
    <row r="424" spans="1:11" x14ac:dyDescent="0.35">
      <c r="A424" s="23">
        <v>46115</v>
      </c>
      <c r="B424" s="19" t="str">
        <f t="shared" si="19"/>
        <v>abril</v>
      </c>
      <c r="C424" s="19" t="str">
        <f t="shared" si="21"/>
        <v>2026</v>
      </c>
      <c r="D424" s="25" t="s">
        <v>206</v>
      </c>
      <c r="E424" s="25" t="s">
        <v>17</v>
      </c>
      <c r="F424" s="25" t="s">
        <v>181</v>
      </c>
      <c r="G424" s="24">
        <v>400</v>
      </c>
      <c r="H424" s="19" t="str">
        <f>IF(LEN(G424)=0,"",VLOOKUP(G424,Issues!A:D,2,FALSE))</f>
        <v>(400) Portales / Web-App</v>
      </c>
      <c r="I424" s="20" t="str">
        <f>IF(LEN(G424)=0,"",VLOOKUP(G424,Issues!A:D,3,FALSE))</f>
        <v>Portal evaluado con éxito.</v>
      </c>
      <c r="J424" s="19" t="str">
        <f>IF(LEN(G424)=0,"",VLOOKUP(G424,Issues!A:D,4,FALSE))</f>
        <v>Prueba OK</v>
      </c>
      <c r="K424" s="21" t="str">
        <f t="shared" si="20"/>
        <v>OK</v>
      </c>
    </row>
    <row r="425" spans="1:11" x14ac:dyDescent="0.35">
      <c r="A425" s="23">
        <v>46039</v>
      </c>
      <c r="B425" s="19" t="str">
        <f t="shared" si="19"/>
        <v>enero</v>
      </c>
      <c r="C425" s="19" t="str">
        <f t="shared" si="21"/>
        <v>2026</v>
      </c>
      <c r="D425" s="25" t="s">
        <v>206</v>
      </c>
      <c r="E425" s="25" t="s">
        <v>23</v>
      </c>
      <c r="F425" s="25" t="s">
        <v>195</v>
      </c>
      <c r="G425" s="24">
        <v>303</v>
      </c>
      <c r="H425" s="19" t="str">
        <f>IF(LEN(G425)=0,"",VLOOKUP(G425,Issues!A:D,2,FALSE))</f>
        <v>(300) Cobros</v>
      </c>
      <c r="I425" s="20" t="str">
        <f>IF(LEN(G425)=0,"",VLOOKUP(G425,Issues!A:D,3,FALSE))</f>
        <v>Llego contenido (no hubo cobro).</v>
      </c>
      <c r="J425" s="19" t="str">
        <f>IF(LEN(G425)=0,"",VLOOKUP(G425,Issues!A:D,4,FALSE))</f>
        <v>Critico</v>
      </c>
      <c r="K425" s="21" t="str">
        <f t="shared" si="20"/>
        <v>Issue</v>
      </c>
    </row>
    <row r="426" spans="1:11" x14ac:dyDescent="0.35">
      <c r="A426" s="23">
        <v>46157</v>
      </c>
      <c r="B426" s="19" t="str">
        <f t="shared" si="19"/>
        <v>mayo</v>
      </c>
      <c r="C426" s="19" t="str">
        <f t="shared" si="21"/>
        <v>2026</v>
      </c>
      <c r="D426" s="25" t="s">
        <v>207</v>
      </c>
      <c r="E426" s="25" t="s">
        <v>18</v>
      </c>
      <c r="F426" s="25" t="s">
        <v>184</v>
      </c>
      <c r="G426" s="24">
        <v>210</v>
      </c>
      <c r="H426" s="19" t="str">
        <f>IF(LEN(G426)=0,"",VLOOKUP(G426,Issues!A:D,2,FALSE))</f>
        <v>(200) Contenidos</v>
      </c>
      <c r="I426" s="20" t="str">
        <f>IF(LEN(G426)=0,"",VLOOKUP(G426,Issues!A:D,3,FALSE))</f>
        <v>Contenido no apropiado - fuera de las politicas del operador.</v>
      </c>
      <c r="J426" s="19" t="str">
        <f>IF(LEN(G426)=0,"",VLOOKUP(G426,Issues!A:D,4,FALSE))</f>
        <v>Critico</v>
      </c>
      <c r="K426" s="21" t="str">
        <f t="shared" si="20"/>
        <v>Issue</v>
      </c>
    </row>
    <row r="427" spans="1:11" x14ac:dyDescent="0.35">
      <c r="A427" s="23">
        <v>46069</v>
      </c>
      <c r="B427" s="19" t="str">
        <f t="shared" si="19"/>
        <v>febrero</v>
      </c>
      <c r="C427" s="19" t="str">
        <f t="shared" si="21"/>
        <v>2026</v>
      </c>
      <c r="D427" s="25" t="s">
        <v>206</v>
      </c>
      <c r="E427" s="25" t="s">
        <v>15</v>
      </c>
      <c r="F427" s="25" t="s">
        <v>174</v>
      </c>
      <c r="G427" s="24">
        <v>800</v>
      </c>
      <c r="H427" s="19" t="str">
        <f>IF(LEN(G427)=0,"",VLOOKUP(G427,Issues!A:D,2,FALSE))</f>
        <v>(800) Politicas especiales operadores</v>
      </c>
      <c r="I427" s="20" t="str">
        <f>IF(LEN(G427)=0,"",VLOOKUP(G427,Issues!A:D,3,FALSE))</f>
        <v>Politicas de los operadores cumplidas.</v>
      </c>
      <c r="J427" s="19" t="str">
        <f>IF(LEN(G427)=0,"",VLOOKUP(G427,Issues!A:D,4,FALSE))</f>
        <v>Prueba OK</v>
      </c>
      <c r="K427" s="21" t="str">
        <f t="shared" si="20"/>
        <v>OK</v>
      </c>
    </row>
    <row r="428" spans="1:11" x14ac:dyDescent="0.35">
      <c r="A428" s="23">
        <v>46067</v>
      </c>
      <c r="B428" s="19" t="str">
        <f t="shared" si="19"/>
        <v>febrero</v>
      </c>
      <c r="C428" s="19" t="str">
        <f t="shared" si="21"/>
        <v>2026</v>
      </c>
      <c r="D428" s="25" t="s">
        <v>207</v>
      </c>
      <c r="E428" s="25" t="s">
        <v>10</v>
      </c>
      <c r="F428" s="25" t="s">
        <v>163</v>
      </c>
      <c r="G428" s="24">
        <v>400</v>
      </c>
      <c r="H428" s="19" t="str">
        <f>IF(LEN(G428)=0,"",VLOOKUP(G428,Issues!A:D,2,FALSE))</f>
        <v>(400) Portales / Web-App</v>
      </c>
      <c r="I428" s="20" t="str">
        <f>IF(LEN(G428)=0,"",VLOOKUP(G428,Issues!A:D,3,FALSE))</f>
        <v>Portal evaluado con éxito.</v>
      </c>
      <c r="J428" s="19" t="str">
        <f>IF(LEN(G428)=0,"",VLOOKUP(G428,Issues!A:D,4,FALSE))</f>
        <v>Prueba OK</v>
      </c>
      <c r="K428" s="21" t="str">
        <f t="shared" si="20"/>
        <v>OK</v>
      </c>
    </row>
    <row r="429" spans="1:11" x14ac:dyDescent="0.35">
      <c r="A429" s="23">
        <v>46048</v>
      </c>
      <c r="B429" s="19" t="str">
        <f t="shared" si="19"/>
        <v>enero</v>
      </c>
      <c r="C429" s="19" t="str">
        <f t="shared" si="21"/>
        <v>2026</v>
      </c>
      <c r="D429" s="25" t="s">
        <v>206</v>
      </c>
      <c r="E429" s="25" t="s">
        <v>13</v>
      </c>
      <c r="F429" s="25" t="s">
        <v>157</v>
      </c>
      <c r="G429" s="24">
        <v>700</v>
      </c>
      <c r="H429" s="19" t="str">
        <f>IF(LEN(G429)=0,"",VLOOKUP(G429,Issues!A:D,2,FALSE))</f>
        <v>(700) Interaccion MO/MT (On Demand)</v>
      </c>
      <c r="I429" s="20" t="str">
        <f>IF(LEN(G429)=0,"",VLOOKUP(G429,Issues!A:D,3,FALSE))</f>
        <v>Flujo MO/MT con éxito.</v>
      </c>
      <c r="J429" s="19" t="str">
        <f>IF(LEN(G429)=0,"",VLOOKUP(G429,Issues!A:D,4,FALSE))</f>
        <v>Prueba OK</v>
      </c>
      <c r="K429" s="21" t="str">
        <f t="shared" si="20"/>
        <v>OK</v>
      </c>
    </row>
    <row r="430" spans="1:11" x14ac:dyDescent="0.35">
      <c r="A430" s="23">
        <v>46132</v>
      </c>
      <c r="B430" s="19" t="str">
        <f t="shared" si="19"/>
        <v>abril</v>
      </c>
      <c r="C430" s="19" t="str">
        <f t="shared" si="21"/>
        <v>2026</v>
      </c>
      <c r="D430" s="25" t="s">
        <v>207</v>
      </c>
      <c r="E430" s="25" t="s">
        <v>12</v>
      </c>
      <c r="F430" s="25" t="s">
        <v>167</v>
      </c>
      <c r="G430" s="24">
        <v>502</v>
      </c>
      <c r="H430" s="19" t="str">
        <f>IF(LEN(G430)=0,"",VLOOKUP(G430,Issues!A:D,2,FALSE))</f>
        <v>(500) Baja / Cancelacion</v>
      </c>
      <c r="I430" s="20" t="str">
        <f>IF(LEN(G430)=0,"",VLOOKUP(G430,Issues!A:D,3,FALSE))</f>
        <v>No entrega el mt de baja.</v>
      </c>
      <c r="J430" s="19" t="str">
        <f>IF(LEN(G430)=0,"",VLOOKUP(G430,Issues!A:D,4,FALSE))</f>
        <v>Critico</v>
      </c>
      <c r="K430" s="21" t="str">
        <f t="shared" si="20"/>
        <v>Issue</v>
      </c>
    </row>
    <row r="431" spans="1:11" x14ac:dyDescent="0.35">
      <c r="A431" s="23">
        <v>46043</v>
      </c>
      <c r="B431" s="19" t="str">
        <f t="shared" si="19"/>
        <v>enero</v>
      </c>
      <c r="C431" s="19" t="str">
        <f t="shared" si="21"/>
        <v>2026</v>
      </c>
      <c r="D431" s="25" t="s">
        <v>210</v>
      </c>
      <c r="E431" s="25" t="s">
        <v>13</v>
      </c>
      <c r="F431" s="25" t="s">
        <v>149</v>
      </c>
      <c r="G431" s="24">
        <v>209</v>
      </c>
      <c r="H431" s="19" t="str">
        <f>IF(LEN(G431)=0,"",VLOOKUP(G431,Issues!A:D,2,FALSE))</f>
        <v>(200) Contenidos</v>
      </c>
      <c r="I431" s="20" t="str">
        <f>IF(LEN(G431)=0,"",VLOOKUP(G431,Issues!A:D,3,FALSE))</f>
        <v>Contenido desactualizado.</v>
      </c>
      <c r="J431" s="19" t="str">
        <f>IF(LEN(G431)=0,"",VLOOKUP(G431,Issues!A:D,4,FALSE))</f>
        <v>Medio</v>
      </c>
      <c r="K431" s="21" t="str">
        <f t="shared" si="20"/>
        <v>Issue</v>
      </c>
    </row>
    <row r="432" spans="1:11" x14ac:dyDescent="0.35">
      <c r="A432" s="23">
        <v>46146</v>
      </c>
      <c r="B432" s="19" t="str">
        <f t="shared" si="19"/>
        <v>mayo</v>
      </c>
      <c r="C432" s="19" t="str">
        <f t="shared" si="21"/>
        <v>2026</v>
      </c>
      <c r="D432" s="25" t="s">
        <v>206</v>
      </c>
      <c r="E432" s="25" t="s">
        <v>17</v>
      </c>
      <c r="F432" s="25" t="s">
        <v>179</v>
      </c>
      <c r="G432" s="24">
        <v>400</v>
      </c>
      <c r="H432" s="19" t="str">
        <f>IF(LEN(G432)=0,"",VLOOKUP(G432,Issues!A:D,2,FALSE))</f>
        <v>(400) Portales / Web-App</v>
      </c>
      <c r="I432" s="20" t="str">
        <f>IF(LEN(G432)=0,"",VLOOKUP(G432,Issues!A:D,3,FALSE))</f>
        <v>Portal evaluado con éxito.</v>
      </c>
      <c r="J432" s="19" t="str">
        <f>IF(LEN(G432)=0,"",VLOOKUP(G432,Issues!A:D,4,FALSE))</f>
        <v>Prueba OK</v>
      </c>
      <c r="K432" s="21" t="str">
        <f t="shared" si="20"/>
        <v>OK</v>
      </c>
    </row>
    <row r="433" spans="1:11" x14ac:dyDescent="0.35">
      <c r="A433" s="23">
        <v>46097</v>
      </c>
      <c r="B433" s="19" t="str">
        <f t="shared" si="19"/>
        <v>marzo</v>
      </c>
      <c r="C433" s="19" t="str">
        <f t="shared" si="21"/>
        <v>2026</v>
      </c>
      <c r="D433" s="25" t="s">
        <v>207</v>
      </c>
      <c r="E433" s="25" t="s">
        <v>13</v>
      </c>
      <c r="F433" s="25" t="s">
        <v>153</v>
      </c>
      <c r="G433" s="24">
        <v>700</v>
      </c>
      <c r="H433" s="19" t="str">
        <f>IF(LEN(G433)=0,"",VLOOKUP(G433,Issues!A:D,2,FALSE))</f>
        <v>(700) Interaccion MO/MT (On Demand)</v>
      </c>
      <c r="I433" s="20" t="str">
        <f>IF(LEN(G433)=0,"",VLOOKUP(G433,Issues!A:D,3,FALSE))</f>
        <v>Flujo MO/MT con éxito.</v>
      </c>
      <c r="J433" s="19" t="str">
        <f>IF(LEN(G433)=0,"",VLOOKUP(G433,Issues!A:D,4,FALSE))</f>
        <v>Prueba OK</v>
      </c>
      <c r="K433" s="21" t="str">
        <f t="shared" si="20"/>
        <v>OK</v>
      </c>
    </row>
    <row r="434" spans="1:11" x14ac:dyDescent="0.35">
      <c r="A434" s="23">
        <v>46048</v>
      </c>
      <c r="B434" s="19" t="str">
        <f t="shared" si="19"/>
        <v>enero</v>
      </c>
      <c r="C434" s="19" t="str">
        <f t="shared" si="21"/>
        <v>2026</v>
      </c>
      <c r="D434" s="25" t="s">
        <v>207</v>
      </c>
      <c r="E434" s="25" t="s">
        <v>15</v>
      </c>
      <c r="F434" s="25" t="s">
        <v>175</v>
      </c>
      <c r="G434" s="24">
        <v>800</v>
      </c>
      <c r="H434" s="19" t="str">
        <f>IF(LEN(G434)=0,"",VLOOKUP(G434,Issues!A:D,2,FALSE))</f>
        <v>(800) Politicas especiales operadores</v>
      </c>
      <c r="I434" s="20" t="str">
        <f>IF(LEN(G434)=0,"",VLOOKUP(G434,Issues!A:D,3,FALSE))</f>
        <v>Politicas de los operadores cumplidas.</v>
      </c>
      <c r="J434" s="19" t="str">
        <f>IF(LEN(G434)=0,"",VLOOKUP(G434,Issues!A:D,4,FALSE))</f>
        <v>Prueba OK</v>
      </c>
      <c r="K434" s="21" t="str">
        <f t="shared" si="20"/>
        <v>OK</v>
      </c>
    </row>
    <row r="435" spans="1:11" x14ac:dyDescent="0.35">
      <c r="A435" s="23">
        <v>46042</v>
      </c>
      <c r="B435" s="19" t="str">
        <f t="shared" si="19"/>
        <v>enero</v>
      </c>
      <c r="C435" s="19" t="str">
        <f t="shared" si="21"/>
        <v>2026</v>
      </c>
      <c r="D435" s="25" t="s">
        <v>207</v>
      </c>
      <c r="E435" s="25" t="s">
        <v>24</v>
      </c>
      <c r="F435" s="25" t="s">
        <v>159</v>
      </c>
      <c r="G435" s="24">
        <v>800</v>
      </c>
      <c r="H435" s="19" t="str">
        <f>IF(LEN(G435)=0,"",VLOOKUP(G435,Issues!A:D,2,FALSE))</f>
        <v>(800) Politicas especiales operadores</v>
      </c>
      <c r="I435" s="20" t="str">
        <f>IF(LEN(G435)=0,"",VLOOKUP(G435,Issues!A:D,3,FALSE))</f>
        <v>Politicas de los operadores cumplidas.</v>
      </c>
      <c r="J435" s="19" t="str">
        <f>IF(LEN(G435)=0,"",VLOOKUP(G435,Issues!A:D,4,FALSE))</f>
        <v>Prueba OK</v>
      </c>
      <c r="K435" s="21" t="str">
        <f t="shared" si="20"/>
        <v>OK</v>
      </c>
    </row>
    <row r="436" spans="1:11" x14ac:dyDescent="0.35">
      <c r="A436" s="23">
        <v>46027</v>
      </c>
      <c r="B436" s="19" t="str">
        <f t="shared" si="19"/>
        <v>enero</v>
      </c>
      <c r="C436" s="19" t="str">
        <f t="shared" si="21"/>
        <v>2026</v>
      </c>
      <c r="D436" s="25" t="s">
        <v>207</v>
      </c>
      <c r="E436" s="25" t="s">
        <v>18</v>
      </c>
      <c r="F436" s="25" t="s">
        <v>184</v>
      </c>
      <c r="G436" s="24">
        <v>401</v>
      </c>
      <c r="H436" s="19" t="str">
        <f>IF(LEN(G436)=0,"",VLOOKUP(G436,Issues!A:D,2,FALSE))</f>
        <v>(400) Portales / Web-App</v>
      </c>
      <c r="I436" s="20" t="str">
        <f>IF(LEN(G436)=0,"",VLOOKUP(G436,Issues!A:D,3,FALSE))</f>
        <v>Problemas con las credenciales y acceso a portal / web-app.</v>
      </c>
      <c r="J436" s="19" t="str">
        <f>IF(LEN(G436)=0,"",VLOOKUP(G436,Issues!A:D,4,FALSE))</f>
        <v>Critico</v>
      </c>
      <c r="K436" s="21" t="str">
        <f t="shared" si="20"/>
        <v>Issue</v>
      </c>
    </row>
    <row r="437" spans="1:11" x14ac:dyDescent="0.35">
      <c r="A437" s="23">
        <v>46049</v>
      </c>
      <c r="B437" s="19" t="str">
        <f t="shared" si="19"/>
        <v>enero</v>
      </c>
      <c r="C437" s="19" t="str">
        <f t="shared" si="21"/>
        <v>2026</v>
      </c>
      <c r="D437" s="25" t="s">
        <v>206</v>
      </c>
      <c r="E437" s="25" t="s">
        <v>18</v>
      </c>
      <c r="F437" s="25" t="s">
        <v>184</v>
      </c>
      <c r="G437" s="24">
        <v>107</v>
      </c>
      <c r="H437" s="19" t="str">
        <f>IF(LEN(G437)=0,"",VLOOKUP(G437,Issues!A:D,2,FALSE))</f>
        <v>(100)  Alta</v>
      </c>
      <c r="I437" s="20" t="str">
        <f>IF(LEN(G437)=0,"",VLOOKUP(G437,Issues!A:D,3,FALSE))</f>
        <v>Falla en lp de suscripción wap - header enrichment.</v>
      </c>
      <c r="J437" s="19" t="str">
        <f>IF(LEN(G437)=0,"",VLOOKUP(G437,Issues!A:D,4,FALSE))</f>
        <v>Critico</v>
      </c>
      <c r="K437" s="21" t="str">
        <f t="shared" si="20"/>
        <v>Issue</v>
      </c>
    </row>
    <row r="438" spans="1:11" x14ac:dyDescent="0.35">
      <c r="A438" s="23">
        <v>46105</v>
      </c>
      <c r="B438" s="19" t="str">
        <f t="shared" si="19"/>
        <v>marzo</v>
      </c>
      <c r="C438" s="19" t="str">
        <f t="shared" si="21"/>
        <v>2026</v>
      </c>
      <c r="D438" s="25" t="s">
        <v>206</v>
      </c>
      <c r="E438" s="25" t="s">
        <v>17</v>
      </c>
      <c r="F438" s="25" t="s">
        <v>181</v>
      </c>
      <c r="G438" s="24">
        <v>307</v>
      </c>
      <c r="H438" s="19" t="str">
        <f>IF(LEN(G438)=0,"",VLOOKUP(G438,Issues!A:D,2,FALSE))</f>
        <v>(300) Cobros</v>
      </c>
      <c r="I438" s="20" t="str">
        <f>IF(LEN(G438)=0,"",VLOOKUP(G438,Issues!A:D,3,FALSE))</f>
        <v>Inconsistencias con el cobro escalonado.</v>
      </c>
      <c r="J438" s="19" t="str">
        <f>IF(LEN(G438)=0,"",VLOOKUP(G438,Issues!A:D,4,FALSE))</f>
        <v>Critico</v>
      </c>
      <c r="K438" s="21" t="str">
        <f t="shared" si="20"/>
        <v>Issue</v>
      </c>
    </row>
    <row r="439" spans="1:11" x14ac:dyDescent="0.35">
      <c r="A439" s="23">
        <v>46056</v>
      </c>
      <c r="B439" s="19" t="str">
        <f t="shared" si="19"/>
        <v>febrero</v>
      </c>
      <c r="C439" s="19" t="str">
        <f t="shared" si="21"/>
        <v>2026</v>
      </c>
      <c r="D439" s="25" t="s">
        <v>206</v>
      </c>
      <c r="E439" s="25" t="s">
        <v>19</v>
      </c>
      <c r="F439" s="25" t="s">
        <v>187</v>
      </c>
      <c r="G439" s="24">
        <v>304</v>
      </c>
      <c r="H439" s="19" t="str">
        <f>IF(LEN(G439)=0,"",VLOOKUP(G439,Issues!A:D,2,FALSE))</f>
        <v>(300) Cobros</v>
      </c>
      <c r="I439" s="20" t="str">
        <f>IF(LEN(G439)=0,"",VLOOKUP(G439,Issues!A:D,3,FALSE))</f>
        <v>Cobro valor diferente al autorizado.</v>
      </c>
      <c r="J439" s="19" t="str">
        <f>IF(LEN(G439)=0,"",VLOOKUP(G439,Issues!A:D,4,FALSE))</f>
        <v>Critico</v>
      </c>
      <c r="K439" s="21" t="str">
        <f t="shared" si="20"/>
        <v>Issue</v>
      </c>
    </row>
    <row r="440" spans="1:11" x14ac:dyDescent="0.35">
      <c r="A440" s="23">
        <v>46080</v>
      </c>
      <c r="B440" s="19" t="str">
        <f t="shared" si="19"/>
        <v>febrero</v>
      </c>
      <c r="C440" s="19" t="str">
        <f t="shared" si="21"/>
        <v>2026</v>
      </c>
      <c r="D440" s="25" t="s">
        <v>208</v>
      </c>
      <c r="E440" s="25" t="s">
        <v>17</v>
      </c>
      <c r="F440" s="25" t="s">
        <v>180</v>
      </c>
      <c r="G440" s="24">
        <v>400</v>
      </c>
      <c r="H440" s="19" t="str">
        <f>IF(LEN(G440)=0,"",VLOOKUP(G440,Issues!A:D,2,FALSE))</f>
        <v>(400) Portales / Web-App</v>
      </c>
      <c r="I440" s="20" t="str">
        <f>IF(LEN(G440)=0,"",VLOOKUP(G440,Issues!A:D,3,FALSE))</f>
        <v>Portal evaluado con éxito.</v>
      </c>
      <c r="J440" s="19" t="str">
        <f>IF(LEN(G440)=0,"",VLOOKUP(G440,Issues!A:D,4,FALSE))</f>
        <v>Prueba OK</v>
      </c>
      <c r="K440" s="21" t="str">
        <f t="shared" si="20"/>
        <v>OK</v>
      </c>
    </row>
    <row r="441" spans="1:11" x14ac:dyDescent="0.35">
      <c r="A441" s="23">
        <v>46110</v>
      </c>
      <c r="B441" s="19" t="str">
        <f t="shared" si="19"/>
        <v>marzo</v>
      </c>
      <c r="C441" s="19" t="str">
        <f t="shared" si="21"/>
        <v>2026</v>
      </c>
      <c r="D441" s="25" t="s">
        <v>206</v>
      </c>
      <c r="E441" s="25" t="s">
        <v>11</v>
      </c>
      <c r="F441" s="25" t="s">
        <v>166</v>
      </c>
      <c r="G441" s="24">
        <v>508</v>
      </c>
      <c r="H441" s="19" t="str">
        <f>IF(LEN(G441)=0,"",VLOOKUP(G441,Issues!A:D,2,FALSE))</f>
        <v>(500) Baja / Cancelacion</v>
      </c>
      <c r="I441" s="20" t="str">
        <f>IF(LEN(G441)=0,"",VLOOKUP(G441,Issues!A:D,3,FALSE))</f>
        <v>No permite dar baja por no tener saldo.</v>
      </c>
      <c r="J441" s="19" t="str">
        <f>IF(LEN(G441)=0,"",VLOOKUP(G441,Issues!A:D,4,FALSE))</f>
        <v>Critico</v>
      </c>
      <c r="K441" s="21" t="str">
        <f t="shared" si="20"/>
        <v>Issue</v>
      </c>
    </row>
    <row r="442" spans="1:11" x14ac:dyDescent="0.35">
      <c r="A442" s="23">
        <v>46050</v>
      </c>
      <c r="B442" s="19" t="str">
        <f t="shared" si="19"/>
        <v>enero</v>
      </c>
      <c r="C442" s="19" t="str">
        <f t="shared" si="21"/>
        <v>2026</v>
      </c>
      <c r="D442" s="25" t="s">
        <v>206</v>
      </c>
      <c r="E442" s="25" t="s">
        <v>10</v>
      </c>
      <c r="F442" s="25" t="s">
        <v>161</v>
      </c>
      <c r="G442" s="24">
        <v>200</v>
      </c>
      <c r="H442" s="19" t="str">
        <f>IF(LEN(G442)=0,"",VLOOKUP(G442,Issues!A:D,2,FALSE))</f>
        <v>(200) Contenidos</v>
      </c>
      <c r="I442" s="20" t="str">
        <f>IF(LEN(G442)=0,"",VLOOKUP(G442,Issues!A:D,3,FALSE))</f>
        <v>Contenidos recibido con éxito.</v>
      </c>
      <c r="J442" s="19" t="str">
        <f>IF(LEN(G442)=0,"",VLOOKUP(G442,Issues!A:D,4,FALSE))</f>
        <v>Prueba OK</v>
      </c>
      <c r="K442" s="21" t="str">
        <f t="shared" si="20"/>
        <v>OK</v>
      </c>
    </row>
    <row r="443" spans="1:11" x14ac:dyDescent="0.35">
      <c r="A443" s="23">
        <v>46126</v>
      </c>
      <c r="B443" s="19" t="str">
        <f t="shared" si="19"/>
        <v>abril</v>
      </c>
      <c r="C443" s="19" t="str">
        <f t="shared" si="21"/>
        <v>2026</v>
      </c>
      <c r="D443" s="25" t="s">
        <v>206</v>
      </c>
      <c r="E443" s="25" t="s">
        <v>25</v>
      </c>
      <c r="F443" s="25" t="s">
        <v>197</v>
      </c>
      <c r="G443" s="24">
        <v>802</v>
      </c>
      <c r="H443" s="19" t="str">
        <f>IF(LEN(G443)=0,"",VLOOKUP(G443,Issues!A:D,2,FALSE))</f>
        <v>(800) Politicas especiales operadores</v>
      </c>
      <c r="I443" s="20" t="str">
        <f>IF(LEN(G443)=0,"",VLOOKUP(G443,Issues!A:D,3,FALSE))</f>
        <v>Falla en colilla legal con info del cp.</v>
      </c>
      <c r="J443" s="19" t="str">
        <f>IF(LEN(G443)=0,"",VLOOKUP(G443,Issues!A:D,4,FALSE))</f>
        <v>Critico</v>
      </c>
      <c r="K443" s="21" t="str">
        <f t="shared" si="20"/>
        <v>Issue</v>
      </c>
    </row>
    <row r="444" spans="1:11" x14ac:dyDescent="0.35">
      <c r="A444" s="23">
        <v>46135</v>
      </c>
      <c r="B444" s="19" t="str">
        <f t="shared" si="19"/>
        <v>abril</v>
      </c>
      <c r="C444" s="19" t="str">
        <f t="shared" si="21"/>
        <v>2026</v>
      </c>
      <c r="D444" s="25" t="s">
        <v>207</v>
      </c>
      <c r="E444" s="25" t="s">
        <v>25</v>
      </c>
      <c r="F444" s="25" t="s">
        <v>199</v>
      </c>
      <c r="G444" s="24">
        <v>300</v>
      </c>
      <c r="H444" s="19" t="str">
        <f>IF(LEN(G444)=0,"",VLOOKUP(G444,Issues!A:D,2,FALSE))</f>
        <v>(300) Cobros</v>
      </c>
      <c r="I444" s="20" t="str">
        <f>IF(LEN(G444)=0,"",VLOOKUP(G444,Issues!A:D,3,FALSE))</f>
        <v>Cobro en valor y forma correcto.</v>
      </c>
      <c r="J444" s="19" t="str">
        <f>IF(LEN(G444)=0,"",VLOOKUP(G444,Issues!A:D,4,FALSE))</f>
        <v>Prueba OK</v>
      </c>
      <c r="K444" s="21" t="str">
        <f t="shared" si="20"/>
        <v>OK</v>
      </c>
    </row>
    <row r="445" spans="1:11" x14ac:dyDescent="0.35">
      <c r="A445" s="23">
        <v>46071</v>
      </c>
      <c r="B445" s="19" t="str">
        <f t="shared" si="19"/>
        <v>febrero</v>
      </c>
      <c r="C445" s="19" t="str">
        <f t="shared" si="21"/>
        <v>2026</v>
      </c>
      <c r="D445" s="25" t="s">
        <v>206</v>
      </c>
      <c r="E445" s="25" t="s">
        <v>20</v>
      </c>
      <c r="F445" s="25" t="s">
        <v>190</v>
      </c>
      <c r="G445" s="24">
        <v>501</v>
      </c>
      <c r="H445" s="19" t="str">
        <f>IF(LEN(G445)=0,"",VLOOKUP(G445,Issues!A:D,2,FALSE))</f>
        <v>(500) Baja / Cancelacion</v>
      </c>
      <c r="I445" s="20" t="str">
        <f>IF(LEN(G445)=0,"",VLOOKUP(G445,Issues!A:D,3,FALSE))</f>
        <v>No funciona el comando de baja.</v>
      </c>
      <c r="J445" s="19" t="str">
        <f>IF(LEN(G445)=0,"",VLOOKUP(G445,Issues!A:D,4,FALSE))</f>
        <v>Critico</v>
      </c>
      <c r="K445" s="21" t="str">
        <f t="shared" si="20"/>
        <v>Issue</v>
      </c>
    </row>
    <row r="446" spans="1:11" x14ac:dyDescent="0.35">
      <c r="A446" s="23">
        <v>46115</v>
      </c>
      <c r="B446" s="19" t="str">
        <f t="shared" si="19"/>
        <v>abril</v>
      </c>
      <c r="C446" s="19" t="str">
        <f t="shared" si="21"/>
        <v>2026</v>
      </c>
      <c r="D446" s="25" t="s">
        <v>206</v>
      </c>
      <c r="E446" s="25" t="s">
        <v>27</v>
      </c>
      <c r="F446" s="25" t="s">
        <v>201</v>
      </c>
      <c r="G446" s="24">
        <v>400</v>
      </c>
      <c r="H446" s="19" t="str">
        <f>IF(LEN(G446)=0,"",VLOOKUP(G446,Issues!A:D,2,FALSE))</f>
        <v>(400) Portales / Web-App</v>
      </c>
      <c r="I446" s="20" t="str">
        <f>IF(LEN(G446)=0,"",VLOOKUP(G446,Issues!A:D,3,FALSE))</f>
        <v>Portal evaluado con éxito.</v>
      </c>
      <c r="J446" s="19" t="str">
        <f>IF(LEN(G446)=0,"",VLOOKUP(G446,Issues!A:D,4,FALSE))</f>
        <v>Prueba OK</v>
      </c>
      <c r="K446" s="21" t="str">
        <f t="shared" si="20"/>
        <v>OK</v>
      </c>
    </row>
    <row r="447" spans="1:11" x14ac:dyDescent="0.35">
      <c r="A447" s="23">
        <v>46052</v>
      </c>
      <c r="B447" s="19" t="str">
        <f t="shared" si="19"/>
        <v>enero</v>
      </c>
      <c r="C447" s="19" t="str">
        <f t="shared" si="21"/>
        <v>2026</v>
      </c>
      <c r="D447" s="25" t="s">
        <v>208</v>
      </c>
      <c r="E447" s="25" t="s">
        <v>10</v>
      </c>
      <c r="F447" s="25" t="s">
        <v>162</v>
      </c>
      <c r="G447" s="24">
        <v>100</v>
      </c>
      <c r="H447" s="19" t="str">
        <f>IF(LEN(G447)=0,"",VLOOKUP(G447,Issues!A:D,2,FALSE))</f>
        <v>(100)  Alta</v>
      </c>
      <c r="I447" s="20" t="str">
        <f>IF(LEN(G447)=0,"",VLOOKUP(G447,Issues!A:D,3,FALSE))</f>
        <v>Alta con éxito.</v>
      </c>
      <c r="J447" s="19" t="str">
        <f>IF(LEN(G447)=0,"",VLOOKUP(G447,Issues!A:D,4,FALSE))</f>
        <v>Prueba OK</v>
      </c>
      <c r="K447" s="21" t="str">
        <f t="shared" si="20"/>
        <v>OK</v>
      </c>
    </row>
    <row r="448" spans="1:11" x14ac:dyDescent="0.35">
      <c r="A448" s="23">
        <v>46045</v>
      </c>
      <c r="B448" s="19" t="str">
        <f t="shared" si="19"/>
        <v>enero</v>
      </c>
      <c r="C448" s="19" t="str">
        <f t="shared" si="21"/>
        <v>2026</v>
      </c>
      <c r="D448" s="25" t="s">
        <v>207</v>
      </c>
      <c r="E448" s="25" t="s">
        <v>11</v>
      </c>
      <c r="F448" s="25" t="s">
        <v>165</v>
      </c>
      <c r="G448" s="24">
        <v>100</v>
      </c>
      <c r="H448" s="19" t="str">
        <f>IF(LEN(G448)=0,"",VLOOKUP(G448,Issues!A:D,2,FALSE))</f>
        <v>(100)  Alta</v>
      </c>
      <c r="I448" s="20" t="str">
        <f>IF(LEN(G448)=0,"",VLOOKUP(G448,Issues!A:D,3,FALSE))</f>
        <v>Alta con éxito.</v>
      </c>
      <c r="J448" s="19" t="str">
        <f>IF(LEN(G448)=0,"",VLOOKUP(G448,Issues!A:D,4,FALSE))</f>
        <v>Prueba OK</v>
      </c>
      <c r="K448" s="21" t="str">
        <f t="shared" si="20"/>
        <v>OK</v>
      </c>
    </row>
    <row r="449" spans="1:11" x14ac:dyDescent="0.35">
      <c r="A449" s="23">
        <v>46127</v>
      </c>
      <c r="B449" s="19" t="str">
        <f t="shared" si="19"/>
        <v>abril</v>
      </c>
      <c r="C449" s="19" t="str">
        <f t="shared" si="21"/>
        <v>2026</v>
      </c>
      <c r="D449" s="25" t="s">
        <v>208</v>
      </c>
      <c r="E449" s="25" t="s">
        <v>11</v>
      </c>
      <c r="F449" s="25" t="s">
        <v>166</v>
      </c>
      <c r="G449" s="24">
        <v>209</v>
      </c>
      <c r="H449" s="19" t="str">
        <f>IF(LEN(G449)=0,"",VLOOKUP(G449,Issues!A:D,2,FALSE))</f>
        <v>(200) Contenidos</v>
      </c>
      <c r="I449" s="20" t="str">
        <f>IF(LEN(G449)=0,"",VLOOKUP(G449,Issues!A:D,3,FALSE))</f>
        <v>Contenido desactualizado.</v>
      </c>
      <c r="J449" s="19" t="str">
        <f>IF(LEN(G449)=0,"",VLOOKUP(G449,Issues!A:D,4,FALSE))</f>
        <v>Medio</v>
      </c>
      <c r="K449" s="21" t="str">
        <f t="shared" si="20"/>
        <v>Issue</v>
      </c>
    </row>
    <row r="450" spans="1:11" x14ac:dyDescent="0.35">
      <c r="A450" s="23">
        <v>46119</v>
      </c>
      <c r="B450" s="19" t="str">
        <f t="shared" si="19"/>
        <v>abril</v>
      </c>
      <c r="C450" s="19" t="str">
        <f t="shared" si="21"/>
        <v>2026</v>
      </c>
      <c r="D450" s="25" t="s">
        <v>206</v>
      </c>
      <c r="E450" s="25" t="s">
        <v>12</v>
      </c>
      <c r="F450" s="25" t="s">
        <v>167</v>
      </c>
      <c r="G450" s="24">
        <v>210</v>
      </c>
      <c r="H450" s="19" t="str">
        <f>IF(LEN(G450)=0,"",VLOOKUP(G450,Issues!A:D,2,FALSE))</f>
        <v>(200) Contenidos</v>
      </c>
      <c r="I450" s="20" t="str">
        <f>IF(LEN(G450)=0,"",VLOOKUP(G450,Issues!A:D,3,FALSE))</f>
        <v>Contenido no apropiado - fuera de las politicas del operador.</v>
      </c>
      <c r="J450" s="19" t="str">
        <f>IF(LEN(G450)=0,"",VLOOKUP(G450,Issues!A:D,4,FALSE))</f>
        <v>Critico</v>
      </c>
      <c r="K450" s="21" t="str">
        <f t="shared" si="20"/>
        <v>Issue</v>
      </c>
    </row>
    <row r="451" spans="1:11" x14ac:dyDescent="0.35">
      <c r="A451" s="23">
        <v>46131</v>
      </c>
      <c r="B451" s="19" t="str">
        <f t="shared" ref="B451:B514" si="22">IF(LEN(A451)=0,"",TEXT(A451,"mmmm"))</f>
        <v>abril</v>
      </c>
      <c r="C451" s="19" t="str">
        <f t="shared" si="21"/>
        <v>2026</v>
      </c>
      <c r="D451" s="25" t="s">
        <v>206</v>
      </c>
      <c r="E451" s="25" t="s">
        <v>10</v>
      </c>
      <c r="F451" s="25" t="s">
        <v>163</v>
      </c>
      <c r="G451" s="24">
        <v>303</v>
      </c>
      <c r="H451" s="19" t="str">
        <f>IF(LEN(G451)=0,"",VLOOKUP(G451,Issues!A:D,2,FALSE))</f>
        <v>(300) Cobros</v>
      </c>
      <c r="I451" s="20" t="str">
        <f>IF(LEN(G451)=0,"",VLOOKUP(G451,Issues!A:D,3,FALSE))</f>
        <v>Llego contenido (no hubo cobro).</v>
      </c>
      <c r="J451" s="19" t="str">
        <f>IF(LEN(G451)=0,"",VLOOKUP(G451,Issues!A:D,4,FALSE))</f>
        <v>Critico</v>
      </c>
      <c r="K451" s="21" t="str">
        <f t="shared" ref="K451:K514" si="23">IF(LEN(G451)=0,"",IF(OR(J451="critico",J451="Medio",J451="Bajo"),"Issue",IF(J451="Prueba OK","OK","")))</f>
        <v>Issue</v>
      </c>
    </row>
    <row r="452" spans="1:11" x14ac:dyDescent="0.35">
      <c r="A452" s="23">
        <v>46126</v>
      </c>
      <c r="B452" s="19" t="str">
        <f t="shared" si="22"/>
        <v>abril</v>
      </c>
      <c r="C452" s="19" t="str">
        <f t="shared" si="21"/>
        <v>2026</v>
      </c>
      <c r="D452" s="25" t="s">
        <v>207</v>
      </c>
      <c r="E452" s="25" t="s">
        <v>25</v>
      </c>
      <c r="F452" s="25" t="s">
        <v>199</v>
      </c>
      <c r="G452" s="24">
        <v>305</v>
      </c>
      <c r="H452" s="19" t="str">
        <f>IF(LEN(G452)=0,"",VLOOKUP(G452,Issues!A:D,2,FALSE))</f>
        <v>(300) Cobros</v>
      </c>
      <c r="I452" s="20" t="str">
        <f>IF(LEN(G452)=0,"",VLOOKUP(G452,Issues!A:D,3,FALSE))</f>
        <v>Cobro doble vez.</v>
      </c>
      <c r="J452" s="19" t="str">
        <f>IF(LEN(G452)=0,"",VLOOKUP(G452,Issues!A:D,4,FALSE))</f>
        <v>Critico</v>
      </c>
      <c r="K452" s="21" t="str">
        <f t="shared" si="23"/>
        <v>Issue</v>
      </c>
    </row>
    <row r="453" spans="1:11" x14ac:dyDescent="0.35">
      <c r="A453" s="23">
        <v>46049</v>
      </c>
      <c r="B453" s="19" t="str">
        <f t="shared" si="22"/>
        <v>enero</v>
      </c>
      <c r="C453" s="19" t="str">
        <f t="shared" si="21"/>
        <v>2026</v>
      </c>
      <c r="D453" s="25" t="s">
        <v>205</v>
      </c>
      <c r="E453" s="25" t="s">
        <v>19</v>
      </c>
      <c r="F453" s="25" t="s">
        <v>185</v>
      </c>
      <c r="G453" s="24">
        <v>408</v>
      </c>
      <c r="H453" s="19" t="str">
        <f>IF(LEN(G453)=0,"",VLOOKUP(G453,Issues!A:D,2,FALSE))</f>
        <v>(400) Portales / Web-App</v>
      </c>
      <c r="I453" s="20" t="str">
        <f>IF(LEN(G453)=0,"",VLOOKUP(G453,Issues!A:D,3,FALSE))</f>
        <v>Inconsistencias en los t&amp;c del portal / web-app.</v>
      </c>
      <c r="J453" s="19" t="str">
        <f>IF(LEN(G453)=0,"",VLOOKUP(G453,Issues!A:D,4,FALSE))</f>
        <v>Critico</v>
      </c>
      <c r="K453" s="21" t="str">
        <f t="shared" si="23"/>
        <v>Issue</v>
      </c>
    </row>
    <row r="454" spans="1:11" x14ac:dyDescent="0.35">
      <c r="A454" s="23">
        <v>46129</v>
      </c>
      <c r="B454" s="19" t="str">
        <f t="shared" si="22"/>
        <v>abril</v>
      </c>
      <c r="C454" s="19" t="str">
        <f t="shared" si="21"/>
        <v>2026</v>
      </c>
      <c r="D454" s="25" t="s">
        <v>209</v>
      </c>
      <c r="E454" s="25" t="s">
        <v>16</v>
      </c>
      <c r="F454" s="25" t="s">
        <v>177</v>
      </c>
      <c r="G454" s="24">
        <v>111</v>
      </c>
      <c r="H454" s="19" t="str">
        <f>IF(LEN(G454)=0,"",VLOOKUP(G454,Issues!A:D,2,FALSE))</f>
        <v>(100)  Alta</v>
      </c>
      <c r="I454" s="20" t="str">
        <f>IF(LEN(G454)=0,"",VLOOKUP(G454,Issues!A:D,3,FALSE))</f>
        <v>Falla en alta a traves de sim.</v>
      </c>
      <c r="J454" s="19" t="str">
        <f>IF(LEN(G454)=0,"",VLOOKUP(G454,Issues!A:D,4,FALSE))</f>
        <v>Critico</v>
      </c>
      <c r="K454" s="21" t="str">
        <f t="shared" si="23"/>
        <v>Issue</v>
      </c>
    </row>
    <row r="455" spans="1:11" x14ac:dyDescent="0.35">
      <c r="A455" s="23">
        <v>46041</v>
      </c>
      <c r="B455" s="19" t="str">
        <f t="shared" si="22"/>
        <v>enero</v>
      </c>
      <c r="C455" s="19" t="str">
        <f t="shared" si="21"/>
        <v>2026</v>
      </c>
      <c r="D455" s="25" t="s">
        <v>206</v>
      </c>
      <c r="E455" s="25" t="s">
        <v>19</v>
      </c>
      <c r="F455" s="25" t="s">
        <v>187</v>
      </c>
      <c r="G455" s="24">
        <v>400</v>
      </c>
      <c r="H455" s="19" t="str">
        <f>IF(LEN(G455)=0,"",VLOOKUP(G455,Issues!A:D,2,FALSE))</f>
        <v>(400) Portales / Web-App</v>
      </c>
      <c r="I455" s="20" t="str">
        <f>IF(LEN(G455)=0,"",VLOOKUP(G455,Issues!A:D,3,FALSE))</f>
        <v>Portal evaluado con éxito.</v>
      </c>
      <c r="J455" s="19" t="str">
        <f>IF(LEN(G455)=0,"",VLOOKUP(G455,Issues!A:D,4,FALSE))</f>
        <v>Prueba OK</v>
      </c>
      <c r="K455" s="21" t="str">
        <f t="shared" si="23"/>
        <v>OK</v>
      </c>
    </row>
    <row r="456" spans="1:11" x14ac:dyDescent="0.35">
      <c r="A456" s="23">
        <v>46100</v>
      </c>
      <c r="B456" s="19" t="str">
        <f t="shared" si="22"/>
        <v>marzo</v>
      </c>
      <c r="C456" s="19" t="str">
        <f t="shared" si="21"/>
        <v>2026</v>
      </c>
      <c r="D456" s="25" t="s">
        <v>208</v>
      </c>
      <c r="E456" s="25" t="s">
        <v>12</v>
      </c>
      <c r="F456" s="25" t="s">
        <v>167</v>
      </c>
      <c r="G456" s="24">
        <v>800</v>
      </c>
      <c r="H456" s="19" t="str">
        <f>IF(LEN(G456)=0,"",VLOOKUP(G456,Issues!A:D,2,FALSE))</f>
        <v>(800) Politicas especiales operadores</v>
      </c>
      <c r="I456" s="20" t="str">
        <f>IF(LEN(G456)=0,"",VLOOKUP(G456,Issues!A:D,3,FALSE))</f>
        <v>Politicas de los operadores cumplidas.</v>
      </c>
      <c r="J456" s="19" t="str">
        <f>IF(LEN(G456)=0,"",VLOOKUP(G456,Issues!A:D,4,FALSE))</f>
        <v>Prueba OK</v>
      </c>
      <c r="K456" s="21" t="str">
        <f t="shared" si="23"/>
        <v>OK</v>
      </c>
    </row>
    <row r="457" spans="1:11" x14ac:dyDescent="0.35">
      <c r="A457" s="23">
        <v>46056</v>
      </c>
      <c r="B457" s="19" t="str">
        <f t="shared" si="22"/>
        <v>febrero</v>
      </c>
      <c r="C457" s="19" t="str">
        <f t="shared" si="21"/>
        <v>2026</v>
      </c>
      <c r="D457" s="25" t="s">
        <v>207</v>
      </c>
      <c r="E457" s="25" t="s">
        <v>14</v>
      </c>
      <c r="F457" s="25" t="s">
        <v>171</v>
      </c>
      <c r="G457" s="24">
        <v>800</v>
      </c>
      <c r="H457" s="19" t="str">
        <f>IF(LEN(G457)=0,"",VLOOKUP(G457,Issues!A:D,2,FALSE))</f>
        <v>(800) Politicas especiales operadores</v>
      </c>
      <c r="I457" s="20" t="str">
        <f>IF(LEN(G457)=0,"",VLOOKUP(G457,Issues!A:D,3,FALSE))</f>
        <v>Politicas de los operadores cumplidas.</v>
      </c>
      <c r="J457" s="19" t="str">
        <f>IF(LEN(G457)=0,"",VLOOKUP(G457,Issues!A:D,4,FALSE))</f>
        <v>Prueba OK</v>
      </c>
      <c r="K457" s="21" t="str">
        <f t="shared" si="23"/>
        <v>OK</v>
      </c>
    </row>
    <row r="458" spans="1:11" x14ac:dyDescent="0.35">
      <c r="A458" s="23">
        <v>46061</v>
      </c>
      <c r="B458" s="19" t="str">
        <f t="shared" si="22"/>
        <v>febrero</v>
      </c>
      <c r="C458" s="19" t="str">
        <f t="shared" si="21"/>
        <v>2026</v>
      </c>
      <c r="D458" s="25" t="s">
        <v>206</v>
      </c>
      <c r="E458" s="25" t="s">
        <v>19</v>
      </c>
      <c r="F458" s="25" t="s">
        <v>185</v>
      </c>
      <c r="G458" s="24">
        <v>500</v>
      </c>
      <c r="H458" s="19" t="str">
        <f>IF(LEN(G458)=0,"",VLOOKUP(G458,Issues!A:D,2,FALSE))</f>
        <v>(500) Baja / Cancelacion</v>
      </c>
      <c r="I458" s="20" t="str">
        <f>IF(LEN(G458)=0,"",VLOOKUP(G458,Issues!A:D,3,FALSE))</f>
        <v>Baja con éxito.</v>
      </c>
      <c r="J458" s="19" t="str">
        <f>IF(LEN(G458)=0,"",VLOOKUP(G458,Issues!A:D,4,FALSE))</f>
        <v>Prueba OK</v>
      </c>
      <c r="K458" s="21" t="str">
        <f t="shared" si="23"/>
        <v>OK</v>
      </c>
    </row>
    <row r="459" spans="1:11" x14ac:dyDescent="0.35">
      <c r="A459" s="23">
        <v>46084</v>
      </c>
      <c r="B459" s="19" t="str">
        <f t="shared" si="22"/>
        <v>marzo</v>
      </c>
      <c r="C459" s="19" t="str">
        <f t="shared" si="21"/>
        <v>2026</v>
      </c>
      <c r="D459" s="25" t="s">
        <v>207</v>
      </c>
      <c r="E459" s="25" t="s">
        <v>18</v>
      </c>
      <c r="F459" s="25" t="s">
        <v>182</v>
      </c>
      <c r="G459" s="24">
        <v>105</v>
      </c>
      <c r="H459" s="19" t="str">
        <f>IF(LEN(G459)=0,"",VLOOKUP(G459,Issues!A:D,2,FALSE))</f>
        <v>(100)  Alta</v>
      </c>
      <c r="I459" s="20" t="str">
        <f>IF(LEN(G459)=0,"",VLOOKUP(G459,Issues!A:D,3,FALSE))</f>
        <v>Inconsistencia en el pin code.</v>
      </c>
      <c r="J459" s="19" t="str">
        <f>IF(LEN(G459)=0,"",VLOOKUP(G459,Issues!A:D,4,FALSE))</f>
        <v>Medio</v>
      </c>
      <c r="K459" s="21" t="str">
        <f t="shared" si="23"/>
        <v>Issue</v>
      </c>
    </row>
    <row r="460" spans="1:11" x14ac:dyDescent="0.35">
      <c r="A460" s="23">
        <v>46123</v>
      </c>
      <c r="B460" s="19" t="str">
        <f t="shared" si="22"/>
        <v>abril</v>
      </c>
      <c r="C460" s="19" t="str">
        <f t="shared" si="21"/>
        <v>2026</v>
      </c>
      <c r="D460" s="25" t="s">
        <v>207</v>
      </c>
      <c r="E460" s="25" t="s">
        <v>25</v>
      </c>
      <c r="F460" s="25" t="s">
        <v>197</v>
      </c>
      <c r="G460" s="24">
        <v>204</v>
      </c>
      <c r="H460" s="19" t="str">
        <f>IF(LEN(G460)=0,"",VLOOKUP(G460,Issues!A:D,2,FALSE))</f>
        <v>(200) Contenidos</v>
      </c>
      <c r="I460" s="20" t="str">
        <f>IF(LEN(G460)=0,"",VLOOKUP(G460,Issues!A:D,3,FALSE))</f>
        <v>Error/inconsistencia en t&amp;c en sms.</v>
      </c>
      <c r="J460" s="19" t="str">
        <f>IF(LEN(G460)=0,"",VLOOKUP(G460,Issues!A:D,4,FALSE))</f>
        <v>Critico</v>
      </c>
      <c r="K460" s="21" t="str">
        <f t="shared" si="23"/>
        <v>Issue</v>
      </c>
    </row>
    <row r="461" spans="1:11" x14ac:dyDescent="0.35">
      <c r="A461" s="23">
        <v>46118</v>
      </c>
      <c r="B461" s="19" t="str">
        <f t="shared" si="22"/>
        <v>abril</v>
      </c>
      <c r="C461" s="19" t="str">
        <f t="shared" si="21"/>
        <v>2026</v>
      </c>
      <c r="D461" s="25" t="s">
        <v>206</v>
      </c>
      <c r="E461" s="25" t="s">
        <v>23</v>
      </c>
      <c r="F461" s="25" t="s">
        <v>196</v>
      </c>
      <c r="G461" s="24">
        <v>800</v>
      </c>
      <c r="H461" s="19" t="str">
        <f>IF(LEN(G461)=0,"",VLOOKUP(G461,Issues!A:D,2,FALSE))</f>
        <v>(800) Politicas especiales operadores</v>
      </c>
      <c r="I461" s="20" t="str">
        <f>IF(LEN(G461)=0,"",VLOOKUP(G461,Issues!A:D,3,FALSE))</f>
        <v>Politicas de los operadores cumplidas.</v>
      </c>
      <c r="J461" s="19" t="str">
        <f>IF(LEN(G461)=0,"",VLOOKUP(G461,Issues!A:D,4,FALSE))</f>
        <v>Prueba OK</v>
      </c>
      <c r="K461" s="21" t="str">
        <f t="shared" si="23"/>
        <v>OK</v>
      </c>
    </row>
    <row r="462" spans="1:11" x14ac:dyDescent="0.35">
      <c r="A462" s="23">
        <v>46093</v>
      </c>
      <c r="B462" s="19" t="str">
        <f t="shared" si="22"/>
        <v>marzo</v>
      </c>
      <c r="C462" s="19" t="str">
        <f t="shared" si="21"/>
        <v>2026</v>
      </c>
      <c r="D462" s="25" t="s">
        <v>207</v>
      </c>
      <c r="E462" s="25" t="s">
        <v>11</v>
      </c>
      <c r="F462" s="25" t="s">
        <v>164</v>
      </c>
      <c r="G462" s="24">
        <v>108</v>
      </c>
      <c r="H462" s="19" t="str">
        <f>IF(LEN(G462)=0,"",VLOOKUP(G462,Issues!A:D,2,FALSE))</f>
        <v>(100)  Alta</v>
      </c>
      <c r="I462" s="20" t="str">
        <f>IF(LEN(G462)=0,"",VLOOKUP(G462,Issues!A:D,3,FALSE))</f>
        <v>Inconsistencias en t&amp;c en la lp.</v>
      </c>
      <c r="J462" s="19" t="str">
        <f>IF(LEN(G462)=0,"",VLOOKUP(G462,Issues!A:D,4,FALSE))</f>
        <v>Critico</v>
      </c>
      <c r="K462" s="21" t="str">
        <f t="shared" si="23"/>
        <v>Issue</v>
      </c>
    </row>
    <row r="463" spans="1:11" x14ac:dyDescent="0.35">
      <c r="A463" s="23">
        <v>46096</v>
      </c>
      <c r="B463" s="19" t="str">
        <f t="shared" si="22"/>
        <v>marzo</v>
      </c>
      <c r="C463" s="19" t="str">
        <f t="shared" si="21"/>
        <v>2026</v>
      </c>
      <c r="D463" s="25" t="s">
        <v>208</v>
      </c>
      <c r="E463" s="25" t="s">
        <v>19</v>
      </c>
      <c r="F463" s="25" t="s">
        <v>185</v>
      </c>
      <c r="G463" s="24">
        <v>200</v>
      </c>
      <c r="H463" s="19" t="str">
        <f>IF(LEN(G463)=0,"",VLOOKUP(G463,Issues!A:D,2,FALSE))</f>
        <v>(200) Contenidos</v>
      </c>
      <c r="I463" s="20" t="str">
        <f>IF(LEN(G463)=0,"",VLOOKUP(G463,Issues!A:D,3,FALSE))</f>
        <v>Contenidos recibido con éxito.</v>
      </c>
      <c r="J463" s="19" t="str">
        <f>IF(LEN(G463)=0,"",VLOOKUP(G463,Issues!A:D,4,FALSE))</f>
        <v>Prueba OK</v>
      </c>
      <c r="K463" s="21" t="str">
        <f t="shared" si="23"/>
        <v>OK</v>
      </c>
    </row>
    <row r="464" spans="1:11" x14ac:dyDescent="0.35">
      <c r="A464" s="23">
        <v>46157</v>
      </c>
      <c r="B464" s="19" t="str">
        <f t="shared" si="22"/>
        <v>mayo</v>
      </c>
      <c r="C464" s="19" t="str">
        <f t="shared" si="21"/>
        <v>2026</v>
      </c>
      <c r="D464" s="25" t="s">
        <v>207</v>
      </c>
      <c r="E464" s="25" t="s">
        <v>16</v>
      </c>
      <c r="F464" s="25" t="s">
        <v>178</v>
      </c>
      <c r="G464" s="24">
        <v>409</v>
      </c>
      <c r="H464" s="19" t="str">
        <f>IF(LEN(G464)=0,"",VLOOKUP(G464,Issues!A:D,2,FALSE))</f>
        <v>(400) Portales / Web-App</v>
      </c>
      <c r="I464" s="20" t="str">
        <f>IF(LEN(G464)=0,"",VLOOKUP(G464,Issues!A:D,3,FALSE))</f>
        <v>409 no cumple con caracteristicas de diseño responsive.</v>
      </c>
      <c r="J464" s="19" t="str">
        <f>IF(LEN(G464)=0,"",VLOOKUP(G464,Issues!A:D,4,FALSE))</f>
        <v>Critico</v>
      </c>
      <c r="K464" s="21" t="str">
        <f t="shared" si="23"/>
        <v>Issue</v>
      </c>
    </row>
    <row r="465" spans="1:11" x14ac:dyDescent="0.35">
      <c r="A465" s="23">
        <v>46136</v>
      </c>
      <c r="B465" s="19" t="str">
        <f t="shared" si="22"/>
        <v>abril</v>
      </c>
      <c r="C465" s="19" t="str">
        <f t="shared" si="21"/>
        <v>2026</v>
      </c>
      <c r="D465" s="25" t="s">
        <v>206</v>
      </c>
      <c r="E465" s="25" t="s">
        <v>21</v>
      </c>
      <c r="F465" s="25" t="s">
        <v>191</v>
      </c>
      <c r="G465" s="24">
        <v>503</v>
      </c>
      <c r="H465" s="19" t="str">
        <f>IF(LEN(G465)=0,"",VLOOKUP(G465,Issues!A:D,2,FALSE))</f>
        <v>(500) Baja / Cancelacion</v>
      </c>
      <c r="I465" s="20" t="str">
        <f>IF(LEN(G465)=0,"",VLOOKUP(G465,Issues!A:D,3,FALSE))</f>
        <v>Dio de baja en sms pero sigue activo en la plataforma.</v>
      </c>
      <c r="J465" s="19" t="str">
        <f>IF(LEN(G465)=0,"",VLOOKUP(G465,Issues!A:D,4,FALSE))</f>
        <v>Critico</v>
      </c>
      <c r="K465" s="21" t="str">
        <f t="shared" si="23"/>
        <v>Issue</v>
      </c>
    </row>
    <row r="466" spans="1:11" x14ac:dyDescent="0.35">
      <c r="A466" s="23">
        <v>46036</v>
      </c>
      <c r="B466" s="19" t="str">
        <f t="shared" si="22"/>
        <v>enero</v>
      </c>
      <c r="C466" s="19" t="str">
        <f t="shared" si="21"/>
        <v>2026</v>
      </c>
      <c r="D466" s="25" t="s">
        <v>206</v>
      </c>
      <c r="E466" s="25" t="s">
        <v>24</v>
      </c>
      <c r="F466" s="25" t="s">
        <v>151</v>
      </c>
      <c r="G466" s="24">
        <v>200</v>
      </c>
      <c r="H466" s="19" t="str">
        <f>IF(LEN(G466)=0,"",VLOOKUP(G466,Issues!A:D,2,FALSE))</f>
        <v>(200) Contenidos</v>
      </c>
      <c r="I466" s="20" t="str">
        <f>IF(LEN(G466)=0,"",VLOOKUP(G466,Issues!A:D,3,FALSE))</f>
        <v>Contenidos recibido con éxito.</v>
      </c>
      <c r="J466" s="19" t="str">
        <f>IF(LEN(G466)=0,"",VLOOKUP(G466,Issues!A:D,4,FALSE))</f>
        <v>Prueba OK</v>
      </c>
      <c r="K466" s="21" t="str">
        <f t="shared" si="23"/>
        <v>OK</v>
      </c>
    </row>
    <row r="467" spans="1:11" x14ac:dyDescent="0.35">
      <c r="A467" s="23">
        <v>46137</v>
      </c>
      <c r="B467" s="19" t="str">
        <f t="shared" si="22"/>
        <v>abril</v>
      </c>
      <c r="C467" s="19" t="str">
        <f t="shared" ref="C467:C530" si="24">IF(LEN(A467)=0,"",TEXT(A467,"aaaa"))</f>
        <v>2026</v>
      </c>
      <c r="D467" s="25" t="s">
        <v>208</v>
      </c>
      <c r="E467" s="25" t="s">
        <v>23</v>
      </c>
      <c r="F467" s="25" t="s">
        <v>195</v>
      </c>
      <c r="G467" s="24">
        <v>111</v>
      </c>
      <c r="H467" s="19" t="str">
        <f>IF(LEN(G467)=0,"",VLOOKUP(G467,Issues!A:D,2,FALSE))</f>
        <v>(100)  Alta</v>
      </c>
      <c r="I467" s="20" t="str">
        <f>IF(LEN(G467)=0,"",VLOOKUP(G467,Issues!A:D,3,FALSE))</f>
        <v>Falla en alta a traves de sim.</v>
      </c>
      <c r="J467" s="19" t="str">
        <f>IF(LEN(G467)=0,"",VLOOKUP(G467,Issues!A:D,4,FALSE))</f>
        <v>Critico</v>
      </c>
      <c r="K467" s="21" t="str">
        <f t="shared" si="23"/>
        <v>Issue</v>
      </c>
    </row>
    <row r="468" spans="1:11" x14ac:dyDescent="0.35">
      <c r="A468" s="23">
        <v>46116</v>
      </c>
      <c r="B468" s="19" t="str">
        <f t="shared" si="22"/>
        <v>abril</v>
      </c>
      <c r="C468" s="19" t="str">
        <f t="shared" si="24"/>
        <v>2026</v>
      </c>
      <c r="D468" s="25" t="s">
        <v>207</v>
      </c>
      <c r="E468" s="25" t="s">
        <v>24</v>
      </c>
      <c r="F468" s="25" t="s">
        <v>159</v>
      </c>
      <c r="G468" s="24">
        <v>506</v>
      </c>
      <c r="H468" s="19" t="str">
        <f>IF(LEN(G468)=0,"",VLOOKUP(G468,Issues!A:D,2,FALSE))</f>
        <v>(500) Baja / Cancelacion</v>
      </c>
      <c r="I468" s="20" t="str">
        <f>IF(LEN(G468)=0,"",VLOOKUP(G468,Issues!A:D,3,FALSE))</f>
        <v>No funciona la baja desde ivr.</v>
      </c>
      <c r="J468" s="19" t="str">
        <f>IF(LEN(G468)=0,"",VLOOKUP(G468,Issues!A:D,4,FALSE))</f>
        <v>Critico</v>
      </c>
      <c r="K468" s="21" t="str">
        <f t="shared" si="23"/>
        <v>Issue</v>
      </c>
    </row>
    <row r="469" spans="1:11" x14ac:dyDescent="0.35">
      <c r="A469" s="23">
        <v>46154</v>
      </c>
      <c r="B469" s="19" t="str">
        <f t="shared" si="22"/>
        <v>mayo</v>
      </c>
      <c r="C469" s="19" t="str">
        <f t="shared" si="24"/>
        <v>2026</v>
      </c>
      <c r="D469" s="25" t="s">
        <v>206</v>
      </c>
      <c r="E469" s="25" t="s">
        <v>12</v>
      </c>
      <c r="F469" s="25" t="s">
        <v>168</v>
      </c>
      <c r="G469" s="24">
        <v>308</v>
      </c>
      <c r="H469" s="19" t="str">
        <f>IF(LEN(G469)=0,"",VLOOKUP(G469,Issues!A:D,2,FALSE))</f>
        <v>(300) Cobros</v>
      </c>
      <c r="I469" s="20" t="str">
        <f>IF(LEN(G469)=0,"",VLOOKUP(G469,Issues!A:D,3,FALSE))</f>
        <v>No entrega confirmacion de cobro.</v>
      </c>
      <c r="J469" s="19" t="str">
        <f>IF(LEN(G469)=0,"",VLOOKUP(G469,Issues!A:D,4,FALSE))</f>
        <v>Critico</v>
      </c>
      <c r="K469" s="21" t="str">
        <f t="shared" si="23"/>
        <v>Issue</v>
      </c>
    </row>
    <row r="470" spans="1:11" x14ac:dyDescent="0.35">
      <c r="A470" s="23">
        <v>46051</v>
      </c>
      <c r="B470" s="19" t="str">
        <f t="shared" si="22"/>
        <v>enero</v>
      </c>
      <c r="C470" s="19" t="str">
        <f t="shared" si="24"/>
        <v>2026</v>
      </c>
      <c r="D470" s="25" t="s">
        <v>207</v>
      </c>
      <c r="E470" s="25" t="s">
        <v>12</v>
      </c>
      <c r="F470" s="25" t="s">
        <v>169</v>
      </c>
      <c r="G470" s="24">
        <v>100</v>
      </c>
      <c r="H470" s="19" t="str">
        <f>IF(LEN(G470)=0,"",VLOOKUP(G470,Issues!A:D,2,FALSE))</f>
        <v>(100)  Alta</v>
      </c>
      <c r="I470" s="20" t="str">
        <f>IF(LEN(G470)=0,"",VLOOKUP(G470,Issues!A:D,3,FALSE))</f>
        <v>Alta con éxito.</v>
      </c>
      <c r="J470" s="19" t="str">
        <f>IF(LEN(G470)=0,"",VLOOKUP(G470,Issues!A:D,4,FALSE))</f>
        <v>Prueba OK</v>
      </c>
      <c r="K470" s="21" t="str">
        <f t="shared" si="23"/>
        <v>OK</v>
      </c>
    </row>
    <row r="471" spans="1:11" x14ac:dyDescent="0.35">
      <c r="A471" s="23">
        <v>46118</v>
      </c>
      <c r="B471" s="19" t="str">
        <f t="shared" si="22"/>
        <v>abril</v>
      </c>
      <c r="C471" s="19" t="str">
        <f t="shared" si="24"/>
        <v>2026</v>
      </c>
      <c r="D471" s="25" t="s">
        <v>207</v>
      </c>
      <c r="E471" s="25" t="s">
        <v>27</v>
      </c>
      <c r="F471" s="25" t="s">
        <v>201</v>
      </c>
      <c r="G471" s="24">
        <v>800</v>
      </c>
      <c r="H471" s="19" t="str">
        <f>IF(LEN(G471)=0,"",VLOOKUP(G471,Issues!A:D,2,FALSE))</f>
        <v>(800) Politicas especiales operadores</v>
      </c>
      <c r="I471" s="20" t="str">
        <f>IF(LEN(G471)=0,"",VLOOKUP(G471,Issues!A:D,3,FALSE))</f>
        <v>Politicas de los operadores cumplidas.</v>
      </c>
      <c r="J471" s="19" t="str">
        <f>IF(LEN(G471)=0,"",VLOOKUP(G471,Issues!A:D,4,FALSE))</f>
        <v>Prueba OK</v>
      </c>
      <c r="K471" s="21" t="str">
        <f t="shared" si="23"/>
        <v>OK</v>
      </c>
    </row>
    <row r="472" spans="1:11" x14ac:dyDescent="0.35">
      <c r="A472" s="23">
        <v>46152</v>
      </c>
      <c r="B472" s="19" t="str">
        <f t="shared" si="22"/>
        <v>mayo</v>
      </c>
      <c r="C472" s="19" t="str">
        <f t="shared" si="24"/>
        <v>2026</v>
      </c>
      <c r="D472" s="25" t="s">
        <v>206</v>
      </c>
      <c r="E472" s="25" t="s">
        <v>12</v>
      </c>
      <c r="F472" s="25" t="s">
        <v>168</v>
      </c>
      <c r="G472" s="24">
        <v>210</v>
      </c>
      <c r="H472" s="19" t="str">
        <f>IF(LEN(G472)=0,"",VLOOKUP(G472,Issues!A:D,2,FALSE))</f>
        <v>(200) Contenidos</v>
      </c>
      <c r="I472" s="20" t="str">
        <f>IF(LEN(G472)=0,"",VLOOKUP(G472,Issues!A:D,3,FALSE))</f>
        <v>Contenido no apropiado - fuera de las politicas del operador.</v>
      </c>
      <c r="J472" s="19" t="str">
        <f>IF(LEN(G472)=0,"",VLOOKUP(G472,Issues!A:D,4,FALSE))</f>
        <v>Critico</v>
      </c>
      <c r="K472" s="21" t="str">
        <f t="shared" si="23"/>
        <v>Issue</v>
      </c>
    </row>
    <row r="473" spans="1:11" x14ac:dyDescent="0.35">
      <c r="A473" s="23">
        <v>46097</v>
      </c>
      <c r="B473" s="19" t="str">
        <f t="shared" si="22"/>
        <v>marzo</v>
      </c>
      <c r="C473" s="19" t="str">
        <f t="shared" si="24"/>
        <v>2026</v>
      </c>
      <c r="D473" s="25" t="s">
        <v>205</v>
      </c>
      <c r="E473" s="25" t="s">
        <v>17</v>
      </c>
      <c r="F473" s="25" t="s">
        <v>181</v>
      </c>
      <c r="G473" s="24">
        <v>504</v>
      </c>
      <c r="H473" s="19" t="str">
        <f>IF(LEN(G473)=0,"",VLOOKUP(G473,Issues!A:D,2,FALSE))</f>
        <v>(500) Baja / Cancelacion</v>
      </c>
      <c r="I473" s="20" t="str">
        <f>IF(LEN(G473)=0,"",VLOOKUP(G473,Issues!A:D,3,FALSE))</f>
        <v>No funciona la baja desde la lp.</v>
      </c>
      <c r="J473" s="19" t="str">
        <f>IF(LEN(G473)=0,"",VLOOKUP(G473,Issues!A:D,4,FALSE))</f>
        <v>Critico</v>
      </c>
      <c r="K473" s="21" t="str">
        <f t="shared" si="23"/>
        <v>Issue</v>
      </c>
    </row>
    <row r="474" spans="1:11" x14ac:dyDescent="0.35">
      <c r="A474" s="23">
        <v>46069</v>
      </c>
      <c r="B474" s="19" t="str">
        <f t="shared" si="22"/>
        <v>febrero</v>
      </c>
      <c r="C474" s="19" t="str">
        <f t="shared" si="24"/>
        <v>2026</v>
      </c>
      <c r="D474" s="25" t="s">
        <v>207</v>
      </c>
      <c r="E474" s="25" t="s">
        <v>25</v>
      </c>
      <c r="F474" s="25" t="s">
        <v>197</v>
      </c>
      <c r="G474" s="24">
        <v>303</v>
      </c>
      <c r="H474" s="19" t="str">
        <f>IF(LEN(G474)=0,"",VLOOKUP(G474,Issues!A:D,2,FALSE))</f>
        <v>(300) Cobros</v>
      </c>
      <c r="I474" s="20" t="str">
        <f>IF(LEN(G474)=0,"",VLOOKUP(G474,Issues!A:D,3,FALSE))</f>
        <v>Llego contenido (no hubo cobro).</v>
      </c>
      <c r="J474" s="19" t="str">
        <f>IF(LEN(G474)=0,"",VLOOKUP(G474,Issues!A:D,4,FALSE))</f>
        <v>Critico</v>
      </c>
      <c r="K474" s="21" t="str">
        <f t="shared" si="23"/>
        <v>Issue</v>
      </c>
    </row>
    <row r="475" spans="1:11" x14ac:dyDescent="0.35">
      <c r="A475" s="23">
        <v>46117</v>
      </c>
      <c r="B475" s="19" t="str">
        <f t="shared" si="22"/>
        <v>abril</v>
      </c>
      <c r="C475" s="19" t="str">
        <f t="shared" si="24"/>
        <v>2026</v>
      </c>
      <c r="D475" s="25" t="s">
        <v>208</v>
      </c>
      <c r="E475" s="25" t="s">
        <v>25</v>
      </c>
      <c r="F475" s="25" t="s">
        <v>198</v>
      </c>
      <c r="G475" s="24">
        <v>701</v>
      </c>
      <c r="H475" s="19" t="str">
        <f>IF(LEN(G475)=0,"",VLOOKUP(G475,Issues!A:D,2,FALSE))</f>
        <v>(700) Interaccion MO/MT (On Demand)</v>
      </c>
      <c r="I475" s="20" t="str">
        <f>IF(LEN(G475)=0,"",VLOOKUP(G475,Issues!A:D,3,FALSE))</f>
        <v>No envia el mo.</v>
      </c>
      <c r="J475" s="19" t="str">
        <f>IF(LEN(G475)=0,"",VLOOKUP(G475,Issues!A:D,4,FALSE))</f>
        <v>Critico</v>
      </c>
      <c r="K475" s="21" t="str">
        <f t="shared" si="23"/>
        <v>Issue</v>
      </c>
    </row>
    <row r="476" spans="1:11" x14ac:dyDescent="0.35">
      <c r="A476" s="23">
        <v>46072</v>
      </c>
      <c r="B476" s="19" t="str">
        <f t="shared" si="22"/>
        <v>febrero</v>
      </c>
      <c r="C476" s="19" t="str">
        <f t="shared" si="24"/>
        <v>2026</v>
      </c>
      <c r="D476" s="25" t="s">
        <v>208</v>
      </c>
      <c r="E476" s="25" t="s">
        <v>21</v>
      </c>
      <c r="F476" s="25" t="s">
        <v>191</v>
      </c>
      <c r="G476" s="24">
        <v>209</v>
      </c>
      <c r="H476" s="19" t="str">
        <f>IF(LEN(G476)=0,"",VLOOKUP(G476,Issues!A:D,2,FALSE))</f>
        <v>(200) Contenidos</v>
      </c>
      <c r="I476" s="20" t="str">
        <f>IF(LEN(G476)=0,"",VLOOKUP(G476,Issues!A:D,3,FALSE))</f>
        <v>Contenido desactualizado.</v>
      </c>
      <c r="J476" s="19" t="str">
        <f>IF(LEN(G476)=0,"",VLOOKUP(G476,Issues!A:D,4,FALSE))</f>
        <v>Medio</v>
      </c>
      <c r="K476" s="21" t="str">
        <f t="shared" si="23"/>
        <v>Issue</v>
      </c>
    </row>
    <row r="477" spans="1:11" x14ac:dyDescent="0.35">
      <c r="A477" s="23">
        <v>46082</v>
      </c>
      <c r="B477" s="19" t="str">
        <f t="shared" si="22"/>
        <v>marzo</v>
      </c>
      <c r="C477" s="19" t="str">
        <f t="shared" si="24"/>
        <v>2026</v>
      </c>
      <c r="D477" s="25" t="s">
        <v>208</v>
      </c>
      <c r="E477" s="25" t="s">
        <v>20</v>
      </c>
      <c r="F477" s="25" t="s">
        <v>189</v>
      </c>
      <c r="G477" s="24">
        <v>202</v>
      </c>
      <c r="H477" s="19" t="str">
        <f>IF(LEN(G477)=0,"",VLOOKUP(G477,Issues!A:D,2,FALSE))</f>
        <v>(200) Contenidos</v>
      </c>
      <c r="I477" s="20" t="str">
        <f>IF(LEN(G477)=0,"",VLOOKUP(G477,Issues!A:D,3,FALSE))</f>
        <v>Inconsistencias en textos/fraseologia sms.</v>
      </c>
      <c r="J477" s="19" t="str">
        <f>IF(LEN(G477)=0,"",VLOOKUP(G477,Issues!A:D,4,FALSE))</f>
        <v>Medio</v>
      </c>
      <c r="K477" s="21" t="str">
        <f t="shared" si="23"/>
        <v>Issue</v>
      </c>
    </row>
    <row r="478" spans="1:11" x14ac:dyDescent="0.35">
      <c r="A478" s="23">
        <v>46084</v>
      </c>
      <c r="B478" s="19" t="str">
        <f t="shared" si="22"/>
        <v>marzo</v>
      </c>
      <c r="C478" s="19" t="str">
        <f t="shared" si="24"/>
        <v>2026</v>
      </c>
      <c r="D478" s="25" t="s">
        <v>206</v>
      </c>
      <c r="E478" s="25" t="s">
        <v>10</v>
      </c>
      <c r="F478" s="25" t="s">
        <v>163</v>
      </c>
      <c r="G478" s="24">
        <v>200</v>
      </c>
      <c r="H478" s="19" t="str">
        <f>IF(LEN(G478)=0,"",VLOOKUP(G478,Issues!A:D,2,FALSE))</f>
        <v>(200) Contenidos</v>
      </c>
      <c r="I478" s="20" t="str">
        <f>IF(LEN(G478)=0,"",VLOOKUP(G478,Issues!A:D,3,FALSE))</f>
        <v>Contenidos recibido con éxito.</v>
      </c>
      <c r="J478" s="19" t="str">
        <f>IF(LEN(G478)=0,"",VLOOKUP(G478,Issues!A:D,4,FALSE))</f>
        <v>Prueba OK</v>
      </c>
      <c r="K478" s="21" t="str">
        <f t="shared" si="23"/>
        <v>OK</v>
      </c>
    </row>
    <row r="479" spans="1:11" x14ac:dyDescent="0.35">
      <c r="A479" s="23">
        <v>46092</v>
      </c>
      <c r="B479" s="19" t="str">
        <f t="shared" si="22"/>
        <v>marzo</v>
      </c>
      <c r="C479" s="19" t="str">
        <f t="shared" si="24"/>
        <v>2026</v>
      </c>
      <c r="D479" s="25" t="s">
        <v>206</v>
      </c>
      <c r="E479" s="25" t="s">
        <v>16</v>
      </c>
      <c r="F479" s="25" t="s">
        <v>176</v>
      </c>
      <c r="G479" s="24">
        <v>701</v>
      </c>
      <c r="H479" s="19" t="str">
        <f>IF(LEN(G479)=0,"",VLOOKUP(G479,Issues!A:D,2,FALSE))</f>
        <v>(700) Interaccion MO/MT (On Demand)</v>
      </c>
      <c r="I479" s="20" t="str">
        <f>IF(LEN(G479)=0,"",VLOOKUP(G479,Issues!A:D,3,FALSE))</f>
        <v>No envia el mo.</v>
      </c>
      <c r="J479" s="19" t="str">
        <f>IF(LEN(G479)=0,"",VLOOKUP(G479,Issues!A:D,4,FALSE))</f>
        <v>Critico</v>
      </c>
      <c r="K479" s="21" t="str">
        <f t="shared" si="23"/>
        <v>Issue</v>
      </c>
    </row>
    <row r="480" spans="1:11" x14ac:dyDescent="0.35">
      <c r="A480" s="23">
        <v>46023</v>
      </c>
      <c r="B480" s="19" t="str">
        <f t="shared" si="22"/>
        <v>enero</v>
      </c>
      <c r="C480" s="19" t="str">
        <f t="shared" si="24"/>
        <v>2026</v>
      </c>
      <c r="D480" s="25" t="s">
        <v>207</v>
      </c>
      <c r="E480" s="25" t="s">
        <v>19</v>
      </c>
      <c r="F480" s="25" t="s">
        <v>185</v>
      </c>
      <c r="G480" s="24">
        <v>800</v>
      </c>
      <c r="H480" s="19" t="str">
        <f>IF(LEN(G480)=0,"",VLOOKUP(G480,Issues!A:D,2,FALSE))</f>
        <v>(800) Politicas especiales operadores</v>
      </c>
      <c r="I480" s="20" t="str">
        <f>IF(LEN(G480)=0,"",VLOOKUP(G480,Issues!A:D,3,FALSE))</f>
        <v>Politicas de los operadores cumplidas.</v>
      </c>
      <c r="J480" s="19" t="str">
        <f>IF(LEN(G480)=0,"",VLOOKUP(G480,Issues!A:D,4,FALSE))</f>
        <v>Prueba OK</v>
      </c>
      <c r="K480" s="21" t="str">
        <f t="shared" si="23"/>
        <v>OK</v>
      </c>
    </row>
    <row r="481" spans="1:11" x14ac:dyDescent="0.35">
      <c r="A481" s="23">
        <v>46059</v>
      </c>
      <c r="B481" s="19" t="str">
        <f t="shared" si="22"/>
        <v>febrero</v>
      </c>
      <c r="C481" s="19" t="str">
        <f t="shared" si="24"/>
        <v>2026</v>
      </c>
      <c r="D481" s="25" t="s">
        <v>209</v>
      </c>
      <c r="E481" s="25" t="s">
        <v>17</v>
      </c>
      <c r="F481" s="25" t="s">
        <v>181</v>
      </c>
      <c r="G481" s="24">
        <v>306</v>
      </c>
      <c r="H481" s="19" t="str">
        <f>IF(LEN(G481)=0,"",VLOOKUP(G481,Issues!A:D,2,FALSE))</f>
        <v>(300) Cobros</v>
      </c>
      <c r="I481" s="20" t="str">
        <f>IF(LEN(G481)=0,"",VLOOKUP(G481,Issues!A:D,3,FALSE))</f>
        <v>Inconsistencias en la recurrencia del cobro.</v>
      </c>
      <c r="J481" s="19" t="str">
        <f>IF(LEN(G481)=0,"",VLOOKUP(G481,Issues!A:D,4,FALSE))</f>
        <v>Critico</v>
      </c>
      <c r="K481" s="21" t="str">
        <f t="shared" si="23"/>
        <v>Issue</v>
      </c>
    </row>
    <row r="482" spans="1:11" x14ac:dyDescent="0.35">
      <c r="A482" s="23">
        <v>46142</v>
      </c>
      <c r="B482" s="19" t="str">
        <f t="shared" si="22"/>
        <v>abril</v>
      </c>
      <c r="C482" s="19" t="str">
        <f t="shared" si="24"/>
        <v>2026</v>
      </c>
      <c r="D482" s="25" t="s">
        <v>207</v>
      </c>
      <c r="E482" s="25" t="s">
        <v>26</v>
      </c>
      <c r="F482" s="25" t="s">
        <v>156</v>
      </c>
      <c r="G482" s="24">
        <v>802</v>
      </c>
      <c r="H482" s="19" t="str">
        <f>IF(LEN(G482)=0,"",VLOOKUP(G482,Issues!A:D,2,FALSE))</f>
        <v>(800) Politicas especiales operadores</v>
      </c>
      <c r="I482" s="20" t="str">
        <f>IF(LEN(G482)=0,"",VLOOKUP(G482,Issues!A:D,3,FALSE))</f>
        <v>Falla en colilla legal con info del cp.</v>
      </c>
      <c r="J482" s="19" t="str">
        <f>IF(LEN(G482)=0,"",VLOOKUP(G482,Issues!A:D,4,FALSE))</f>
        <v>Critico</v>
      </c>
      <c r="K482" s="21" t="str">
        <f t="shared" si="23"/>
        <v>Issue</v>
      </c>
    </row>
    <row r="483" spans="1:11" x14ac:dyDescent="0.35">
      <c r="A483" s="23">
        <v>46061</v>
      </c>
      <c r="B483" s="19" t="str">
        <f t="shared" si="22"/>
        <v>febrero</v>
      </c>
      <c r="C483" s="19" t="str">
        <f t="shared" si="24"/>
        <v>2026</v>
      </c>
      <c r="D483" s="25" t="s">
        <v>206</v>
      </c>
      <c r="E483" s="25" t="s">
        <v>18</v>
      </c>
      <c r="F483" s="25" t="s">
        <v>183</v>
      </c>
      <c r="G483" s="24">
        <v>800</v>
      </c>
      <c r="H483" s="19" t="str">
        <f>IF(LEN(G483)=0,"",VLOOKUP(G483,Issues!A:D,2,FALSE))</f>
        <v>(800) Politicas especiales operadores</v>
      </c>
      <c r="I483" s="20" t="str">
        <f>IF(LEN(G483)=0,"",VLOOKUP(G483,Issues!A:D,3,FALSE))</f>
        <v>Politicas de los operadores cumplidas.</v>
      </c>
      <c r="J483" s="19" t="str">
        <f>IF(LEN(G483)=0,"",VLOOKUP(G483,Issues!A:D,4,FALSE))</f>
        <v>Prueba OK</v>
      </c>
      <c r="K483" s="21" t="str">
        <f t="shared" si="23"/>
        <v>OK</v>
      </c>
    </row>
    <row r="484" spans="1:11" x14ac:dyDescent="0.35">
      <c r="A484" s="23">
        <v>46045</v>
      </c>
      <c r="B484" s="19" t="str">
        <f t="shared" si="22"/>
        <v>enero</v>
      </c>
      <c r="C484" s="19" t="str">
        <f t="shared" si="24"/>
        <v>2026</v>
      </c>
      <c r="D484" s="25" t="s">
        <v>206</v>
      </c>
      <c r="E484" s="25" t="s">
        <v>11</v>
      </c>
      <c r="F484" s="25" t="s">
        <v>165</v>
      </c>
      <c r="G484" s="24">
        <v>207</v>
      </c>
      <c r="H484" s="19" t="str">
        <f>IF(LEN(G484)=0,"",VLOOKUP(G484,Issues!A:D,2,FALSE))</f>
        <v>(200) Contenidos</v>
      </c>
      <c r="I484" s="20" t="str">
        <f>IF(LEN(G484)=0,"",VLOOKUP(G484,Issues!A:D,3,FALSE))</f>
        <v>Contenido repetido.</v>
      </c>
      <c r="J484" s="19" t="str">
        <f>IF(LEN(G484)=0,"",VLOOKUP(G484,Issues!A:D,4,FALSE))</f>
        <v>Medio</v>
      </c>
      <c r="K484" s="21" t="str">
        <f t="shared" si="23"/>
        <v>Issue</v>
      </c>
    </row>
    <row r="485" spans="1:11" x14ac:dyDescent="0.35">
      <c r="A485" s="23">
        <v>46049</v>
      </c>
      <c r="B485" s="19" t="str">
        <f t="shared" si="22"/>
        <v>enero</v>
      </c>
      <c r="C485" s="19" t="str">
        <f t="shared" si="24"/>
        <v>2026</v>
      </c>
      <c r="D485" s="25" t="s">
        <v>206</v>
      </c>
      <c r="E485" s="25" t="s">
        <v>18</v>
      </c>
      <c r="F485" s="25" t="s">
        <v>183</v>
      </c>
      <c r="G485" s="24">
        <v>112</v>
      </c>
      <c r="H485" s="19" t="str">
        <f>IF(LEN(G485)=0,"",VLOOKUP(G485,Issues!A:D,2,FALSE))</f>
        <v>(100)  Alta</v>
      </c>
      <c r="I485" s="20" t="str">
        <f>IF(LEN(G485)=0,"",VLOOKUP(G485,Issues!A:D,3,FALSE))</f>
        <v>Falla en alta a traves de tienda.</v>
      </c>
      <c r="J485" s="19" t="str">
        <f>IF(LEN(G485)=0,"",VLOOKUP(G485,Issues!A:D,4,FALSE))</f>
        <v>Critico</v>
      </c>
      <c r="K485" s="21" t="str">
        <f t="shared" si="23"/>
        <v>Issue</v>
      </c>
    </row>
    <row r="486" spans="1:11" x14ac:dyDescent="0.35">
      <c r="A486" s="23">
        <v>46096</v>
      </c>
      <c r="B486" s="19" t="str">
        <f t="shared" si="22"/>
        <v>marzo</v>
      </c>
      <c r="C486" s="19" t="str">
        <f t="shared" si="24"/>
        <v>2026</v>
      </c>
      <c r="D486" s="25" t="s">
        <v>206</v>
      </c>
      <c r="E486" s="25" t="s">
        <v>12</v>
      </c>
      <c r="F486" s="25" t="s">
        <v>169</v>
      </c>
      <c r="G486" s="24">
        <v>100</v>
      </c>
      <c r="H486" s="19" t="str">
        <f>IF(LEN(G486)=0,"",VLOOKUP(G486,Issues!A:D,2,FALSE))</f>
        <v>(100)  Alta</v>
      </c>
      <c r="I486" s="20" t="str">
        <f>IF(LEN(G486)=0,"",VLOOKUP(G486,Issues!A:D,3,FALSE))</f>
        <v>Alta con éxito.</v>
      </c>
      <c r="J486" s="19" t="str">
        <f>IF(LEN(G486)=0,"",VLOOKUP(G486,Issues!A:D,4,FALSE))</f>
        <v>Prueba OK</v>
      </c>
      <c r="K486" s="21" t="str">
        <f t="shared" si="23"/>
        <v>OK</v>
      </c>
    </row>
    <row r="487" spans="1:11" x14ac:dyDescent="0.35">
      <c r="A487" s="23">
        <v>46088</v>
      </c>
      <c r="B487" s="19" t="str">
        <f t="shared" si="22"/>
        <v>marzo</v>
      </c>
      <c r="C487" s="19" t="str">
        <f t="shared" si="24"/>
        <v>2026</v>
      </c>
      <c r="D487" s="25" t="s">
        <v>207</v>
      </c>
      <c r="E487" s="25" t="s">
        <v>10</v>
      </c>
      <c r="F487" s="25" t="s">
        <v>162</v>
      </c>
      <c r="G487" s="24">
        <v>508</v>
      </c>
      <c r="H487" s="19" t="str">
        <f>IF(LEN(G487)=0,"",VLOOKUP(G487,Issues!A:D,2,FALSE))</f>
        <v>(500) Baja / Cancelacion</v>
      </c>
      <c r="I487" s="20" t="str">
        <f>IF(LEN(G487)=0,"",VLOOKUP(G487,Issues!A:D,3,FALSE))</f>
        <v>No permite dar baja por no tener saldo.</v>
      </c>
      <c r="J487" s="19" t="str">
        <f>IF(LEN(G487)=0,"",VLOOKUP(G487,Issues!A:D,4,FALSE))</f>
        <v>Critico</v>
      </c>
      <c r="K487" s="21" t="str">
        <f t="shared" si="23"/>
        <v>Issue</v>
      </c>
    </row>
    <row r="488" spans="1:11" x14ac:dyDescent="0.35">
      <c r="A488" s="23">
        <v>46067</v>
      </c>
      <c r="B488" s="19" t="str">
        <f t="shared" si="22"/>
        <v>febrero</v>
      </c>
      <c r="C488" s="19" t="str">
        <f t="shared" si="24"/>
        <v>2026</v>
      </c>
      <c r="D488" s="25" t="s">
        <v>207</v>
      </c>
      <c r="E488" s="25" t="s">
        <v>20</v>
      </c>
      <c r="F488" s="25" t="s">
        <v>190</v>
      </c>
      <c r="G488" s="24">
        <v>300</v>
      </c>
      <c r="H488" s="19" t="str">
        <f>IF(LEN(G488)=0,"",VLOOKUP(G488,Issues!A:D,2,FALSE))</f>
        <v>(300) Cobros</v>
      </c>
      <c r="I488" s="20" t="str">
        <f>IF(LEN(G488)=0,"",VLOOKUP(G488,Issues!A:D,3,FALSE))</f>
        <v>Cobro en valor y forma correcto.</v>
      </c>
      <c r="J488" s="19" t="str">
        <f>IF(LEN(G488)=0,"",VLOOKUP(G488,Issues!A:D,4,FALSE))</f>
        <v>Prueba OK</v>
      </c>
      <c r="K488" s="21" t="str">
        <f t="shared" si="23"/>
        <v>OK</v>
      </c>
    </row>
    <row r="489" spans="1:11" x14ac:dyDescent="0.35">
      <c r="A489" s="23">
        <v>46107</v>
      </c>
      <c r="B489" s="19" t="str">
        <f t="shared" si="22"/>
        <v>marzo</v>
      </c>
      <c r="C489" s="19" t="str">
        <f t="shared" si="24"/>
        <v>2026</v>
      </c>
      <c r="D489" s="25" t="s">
        <v>208</v>
      </c>
      <c r="E489" s="25" t="s">
        <v>17</v>
      </c>
      <c r="F489" s="25" t="s">
        <v>180</v>
      </c>
      <c r="G489" s="24">
        <v>301</v>
      </c>
      <c r="H489" s="19" t="str">
        <f>IF(LEN(G489)=0,"",VLOOKUP(G489,Issues!A:D,2,FALSE))</f>
        <v>(300) Cobros</v>
      </c>
      <c r="I489" s="20" t="str">
        <f>IF(LEN(G489)=0,"",VLOOKUP(G489,Issues!A:D,3,FALSE))</f>
        <v>No llego contenido (si hubo cobro).</v>
      </c>
      <c r="J489" s="19" t="str">
        <f>IF(LEN(G489)=0,"",VLOOKUP(G489,Issues!A:D,4,FALSE))</f>
        <v>Critico</v>
      </c>
      <c r="K489" s="21" t="str">
        <f t="shared" si="23"/>
        <v>Issue</v>
      </c>
    </row>
    <row r="490" spans="1:11" x14ac:dyDescent="0.35">
      <c r="A490" s="23">
        <v>46117</v>
      </c>
      <c r="B490" s="19" t="str">
        <f t="shared" si="22"/>
        <v>abril</v>
      </c>
      <c r="C490" s="19" t="str">
        <f t="shared" si="24"/>
        <v>2026</v>
      </c>
      <c r="D490" s="25" t="s">
        <v>207</v>
      </c>
      <c r="E490" s="25" t="s">
        <v>16</v>
      </c>
      <c r="F490" s="25" t="s">
        <v>176</v>
      </c>
      <c r="G490" s="24">
        <v>400</v>
      </c>
      <c r="H490" s="19" t="str">
        <f>IF(LEN(G490)=0,"",VLOOKUP(G490,Issues!A:D,2,FALSE))</f>
        <v>(400) Portales / Web-App</v>
      </c>
      <c r="I490" s="20" t="str">
        <f>IF(LEN(G490)=0,"",VLOOKUP(G490,Issues!A:D,3,FALSE))</f>
        <v>Portal evaluado con éxito.</v>
      </c>
      <c r="J490" s="19" t="str">
        <f>IF(LEN(G490)=0,"",VLOOKUP(G490,Issues!A:D,4,FALSE))</f>
        <v>Prueba OK</v>
      </c>
      <c r="K490" s="21" t="str">
        <f t="shared" si="23"/>
        <v>OK</v>
      </c>
    </row>
    <row r="491" spans="1:11" x14ac:dyDescent="0.35">
      <c r="A491" s="23">
        <v>46096</v>
      </c>
      <c r="B491" s="19" t="str">
        <f t="shared" si="22"/>
        <v>marzo</v>
      </c>
      <c r="C491" s="19" t="str">
        <f t="shared" si="24"/>
        <v>2026</v>
      </c>
      <c r="D491" s="25" t="s">
        <v>207</v>
      </c>
      <c r="E491" s="25" t="s">
        <v>16</v>
      </c>
      <c r="F491" s="25" t="s">
        <v>176</v>
      </c>
      <c r="G491" s="24">
        <v>800</v>
      </c>
      <c r="H491" s="19" t="str">
        <f>IF(LEN(G491)=0,"",VLOOKUP(G491,Issues!A:D,2,FALSE))</f>
        <v>(800) Politicas especiales operadores</v>
      </c>
      <c r="I491" s="20" t="str">
        <f>IF(LEN(G491)=0,"",VLOOKUP(G491,Issues!A:D,3,FALSE))</f>
        <v>Politicas de los operadores cumplidas.</v>
      </c>
      <c r="J491" s="19" t="str">
        <f>IF(LEN(G491)=0,"",VLOOKUP(G491,Issues!A:D,4,FALSE))</f>
        <v>Prueba OK</v>
      </c>
      <c r="K491" s="21" t="str">
        <f t="shared" si="23"/>
        <v>OK</v>
      </c>
    </row>
    <row r="492" spans="1:11" x14ac:dyDescent="0.35">
      <c r="A492" s="23">
        <v>46054</v>
      </c>
      <c r="B492" s="19" t="str">
        <f t="shared" si="22"/>
        <v>febrero</v>
      </c>
      <c r="C492" s="19" t="str">
        <f t="shared" si="24"/>
        <v>2026</v>
      </c>
      <c r="D492" s="25" t="s">
        <v>206</v>
      </c>
      <c r="E492" s="25" t="s">
        <v>22</v>
      </c>
      <c r="F492" s="25" t="s">
        <v>150</v>
      </c>
      <c r="G492" s="24">
        <v>200</v>
      </c>
      <c r="H492" s="19" t="str">
        <f>IF(LEN(G492)=0,"",VLOOKUP(G492,Issues!A:D,2,FALSE))</f>
        <v>(200) Contenidos</v>
      </c>
      <c r="I492" s="20" t="str">
        <f>IF(LEN(G492)=0,"",VLOOKUP(G492,Issues!A:D,3,FALSE))</f>
        <v>Contenidos recibido con éxito.</v>
      </c>
      <c r="J492" s="19" t="str">
        <f>IF(LEN(G492)=0,"",VLOOKUP(G492,Issues!A:D,4,FALSE))</f>
        <v>Prueba OK</v>
      </c>
      <c r="K492" s="21" t="str">
        <f t="shared" si="23"/>
        <v>OK</v>
      </c>
    </row>
    <row r="493" spans="1:11" x14ac:dyDescent="0.35">
      <c r="A493" s="23">
        <v>46037</v>
      </c>
      <c r="B493" s="19" t="str">
        <f t="shared" si="22"/>
        <v>enero</v>
      </c>
      <c r="C493" s="19" t="str">
        <f t="shared" si="24"/>
        <v>2026</v>
      </c>
      <c r="D493" s="25" t="s">
        <v>207</v>
      </c>
      <c r="E493" s="25" t="s">
        <v>27</v>
      </c>
      <c r="F493" s="25" t="s">
        <v>200</v>
      </c>
      <c r="G493" s="24">
        <v>207</v>
      </c>
      <c r="H493" s="19" t="str">
        <f>IF(LEN(G493)=0,"",VLOOKUP(G493,Issues!A:D,2,FALSE))</f>
        <v>(200) Contenidos</v>
      </c>
      <c r="I493" s="20" t="str">
        <f>IF(LEN(G493)=0,"",VLOOKUP(G493,Issues!A:D,3,FALSE))</f>
        <v>Contenido repetido.</v>
      </c>
      <c r="J493" s="19" t="str">
        <f>IF(LEN(G493)=0,"",VLOOKUP(G493,Issues!A:D,4,FALSE))</f>
        <v>Medio</v>
      </c>
      <c r="K493" s="21" t="str">
        <f t="shared" si="23"/>
        <v>Issue</v>
      </c>
    </row>
    <row r="494" spans="1:11" x14ac:dyDescent="0.35">
      <c r="A494" s="23">
        <v>46035</v>
      </c>
      <c r="B494" s="19" t="str">
        <f t="shared" si="22"/>
        <v>enero</v>
      </c>
      <c r="C494" s="19" t="str">
        <f t="shared" si="24"/>
        <v>2026</v>
      </c>
      <c r="D494" s="25" t="s">
        <v>206</v>
      </c>
      <c r="E494" s="25" t="s">
        <v>16</v>
      </c>
      <c r="F494" s="25" t="s">
        <v>178</v>
      </c>
      <c r="G494" s="24">
        <v>200</v>
      </c>
      <c r="H494" s="19" t="str">
        <f>IF(LEN(G494)=0,"",VLOOKUP(G494,Issues!A:D,2,FALSE))</f>
        <v>(200) Contenidos</v>
      </c>
      <c r="I494" s="20" t="str">
        <f>IF(LEN(G494)=0,"",VLOOKUP(G494,Issues!A:D,3,FALSE))</f>
        <v>Contenidos recibido con éxito.</v>
      </c>
      <c r="J494" s="19" t="str">
        <f>IF(LEN(G494)=0,"",VLOOKUP(G494,Issues!A:D,4,FALSE))</f>
        <v>Prueba OK</v>
      </c>
      <c r="K494" s="21" t="str">
        <f t="shared" si="23"/>
        <v>OK</v>
      </c>
    </row>
    <row r="495" spans="1:11" x14ac:dyDescent="0.35">
      <c r="A495" s="23">
        <v>46031</v>
      </c>
      <c r="B495" s="19" t="str">
        <f t="shared" si="22"/>
        <v>enero</v>
      </c>
      <c r="C495" s="19" t="str">
        <f t="shared" si="24"/>
        <v>2026</v>
      </c>
      <c r="D495" s="25" t="s">
        <v>206</v>
      </c>
      <c r="E495" s="25" t="s">
        <v>17</v>
      </c>
      <c r="F495" s="25" t="s">
        <v>181</v>
      </c>
      <c r="G495" s="24">
        <v>302</v>
      </c>
      <c r="H495" s="19" t="str">
        <f>IF(LEN(G495)=0,"",VLOOKUP(G495,Issues!A:D,2,FALSE))</f>
        <v>(300) Cobros</v>
      </c>
      <c r="I495" s="20" t="str">
        <f>IF(LEN(G495)=0,"",VLOOKUP(G495,Issues!A:D,3,FALSE))</f>
        <v>No llego contenido (no hubo cobro).</v>
      </c>
      <c r="J495" s="19" t="str">
        <f>IF(LEN(G495)=0,"",VLOOKUP(G495,Issues!A:D,4,FALSE))</f>
        <v>Critico</v>
      </c>
      <c r="K495" s="21" t="str">
        <f t="shared" si="23"/>
        <v>Issue</v>
      </c>
    </row>
    <row r="496" spans="1:11" x14ac:dyDescent="0.35">
      <c r="A496" s="23">
        <v>46090</v>
      </c>
      <c r="B496" s="19" t="str">
        <f t="shared" si="22"/>
        <v>marzo</v>
      </c>
      <c r="C496" s="19" t="str">
        <f t="shared" si="24"/>
        <v>2026</v>
      </c>
      <c r="D496" s="25" t="s">
        <v>207</v>
      </c>
      <c r="E496" s="25" t="s">
        <v>18</v>
      </c>
      <c r="F496" s="25" t="s">
        <v>182</v>
      </c>
      <c r="G496" s="24">
        <v>105</v>
      </c>
      <c r="H496" s="19" t="str">
        <f>IF(LEN(G496)=0,"",VLOOKUP(G496,Issues!A:D,2,FALSE))</f>
        <v>(100)  Alta</v>
      </c>
      <c r="I496" s="20" t="str">
        <f>IF(LEN(G496)=0,"",VLOOKUP(G496,Issues!A:D,3,FALSE))</f>
        <v>Inconsistencia en el pin code.</v>
      </c>
      <c r="J496" s="19" t="str">
        <f>IF(LEN(G496)=0,"",VLOOKUP(G496,Issues!A:D,4,FALSE))</f>
        <v>Medio</v>
      </c>
      <c r="K496" s="21" t="str">
        <f t="shared" si="23"/>
        <v>Issue</v>
      </c>
    </row>
    <row r="497" spans="1:11" x14ac:dyDescent="0.35">
      <c r="A497" s="23">
        <v>46125</v>
      </c>
      <c r="B497" s="19" t="str">
        <f t="shared" si="22"/>
        <v>abril</v>
      </c>
      <c r="C497" s="19" t="str">
        <f t="shared" si="24"/>
        <v>2026</v>
      </c>
      <c r="D497" s="25" t="s">
        <v>207</v>
      </c>
      <c r="E497" s="25" t="s">
        <v>12</v>
      </c>
      <c r="F497" s="25" t="s">
        <v>167</v>
      </c>
      <c r="G497" s="24">
        <v>500</v>
      </c>
      <c r="H497" s="19" t="str">
        <f>IF(LEN(G497)=0,"",VLOOKUP(G497,Issues!A:D,2,FALSE))</f>
        <v>(500) Baja / Cancelacion</v>
      </c>
      <c r="I497" s="20" t="str">
        <f>IF(LEN(G497)=0,"",VLOOKUP(G497,Issues!A:D,3,FALSE))</f>
        <v>Baja con éxito.</v>
      </c>
      <c r="J497" s="19" t="str">
        <f>IF(LEN(G497)=0,"",VLOOKUP(G497,Issues!A:D,4,FALSE))</f>
        <v>Prueba OK</v>
      </c>
      <c r="K497" s="21" t="str">
        <f t="shared" si="23"/>
        <v>OK</v>
      </c>
    </row>
    <row r="498" spans="1:11" x14ac:dyDescent="0.35">
      <c r="A498" s="23">
        <v>46035</v>
      </c>
      <c r="B498" s="19" t="str">
        <f t="shared" si="22"/>
        <v>enero</v>
      </c>
      <c r="C498" s="19" t="str">
        <f t="shared" si="24"/>
        <v>2026</v>
      </c>
      <c r="D498" s="25" t="s">
        <v>208</v>
      </c>
      <c r="E498" s="25" t="s">
        <v>23</v>
      </c>
      <c r="F498" s="25" t="s">
        <v>196</v>
      </c>
      <c r="G498" s="24">
        <v>300</v>
      </c>
      <c r="H498" s="19" t="str">
        <f>IF(LEN(G498)=0,"",VLOOKUP(G498,Issues!A:D,2,FALSE))</f>
        <v>(300) Cobros</v>
      </c>
      <c r="I498" s="20" t="str">
        <f>IF(LEN(G498)=0,"",VLOOKUP(G498,Issues!A:D,3,FALSE))</f>
        <v>Cobro en valor y forma correcto.</v>
      </c>
      <c r="J498" s="19" t="str">
        <f>IF(LEN(G498)=0,"",VLOOKUP(G498,Issues!A:D,4,FALSE))</f>
        <v>Prueba OK</v>
      </c>
      <c r="K498" s="21" t="str">
        <f t="shared" si="23"/>
        <v>OK</v>
      </c>
    </row>
    <row r="499" spans="1:11" x14ac:dyDescent="0.35">
      <c r="A499" s="23">
        <v>46104</v>
      </c>
      <c r="B499" s="19" t="str">
        <f t="shared" si="22"/>
        <v>marzo</v>
      </c>
      <c r="C499" s="19" t="str">
        <f t="shared" si="24"/>
        <v>2026</v>
      </c>
      <c r="D499" s="25" t="s">
        <v>206</v>
      </c>
      <c r="E499" s="25" t="s">
        <v>27</v>
      </c>
      <c r="F499" s="25" t="s">
        <v>201</v>
      </c>
      <c r="G499" s="24">
        <v>500</v>
      </c>
      <c r="H499" s="19" t="str">
        <f>IF(LEN(G499)=0,"",VLOOKUP(G499,Issues!A:D,2,FALSE))</f>
        <v>(500) Baja / Cancelacion</v>
      </c>
      <c r="I499" s="20" t="str">
        <f>IF(LEN(G499)=0,"",VLOOKUP(G499,Issues!A:D,3,FALSE))</f>
        <v>Baja con éxito.</v>
      </c>
      <c r="J499" s="19" t="str">
        <f>IF(LEN(G499)=0,"",VLOOKUP(G499,Issues!A:D,4,FALSE))</f>
        <v>Prueba OK</v>
      </c>
      <c r="K499" s="21" t="str">
        <f t="shared" si="23"/>
        <v>OK</v>
      </c>
    </row>
    <row r="500" spans="1:11" x14ac:dyDescent="0.35">
      <c r="A500" s="23">
        <v>46143</v>
      </c>
      <c r="B500" s="19" t="str">
        <f t="shared" si="22"/>
        <v>mayo</v>
      </c>
      <c r="C500" s="19" t="str">
        <f t="shared" si="24"/>
        <v>2026</v>
      </c>
      <c r="D500" s="25" t="s">
        <v>206</v>
      </c>
      <c r="E500" s="25" t="s">
        <v>25</v>
      </c>
      <c r="F500" s="25" t="s">
        <v>197</v>
      </c>
      <c r="G500" s="24">
        <v>200</v>
      </c>
      <c r="H500" s="19" t="str">
        <f>IF(LEN(G500)=0,"",VLOOKUP(G500,Issues!A:D,2,FALSE))</f>
        <v>(200) Contenidos</v>
      </c>
      <c r="I500" s="20" t="str">
        <f>IF(LEN(G500)=0,"",VLOOKUP(G500,Issues!A:D,3,FALSE))</f>
        <v>Contenidos recibido con éxito.</v>
      </c>
      <c r="J500" s="19" t="str">
        <f>IF(LEN(G500)=0,"",VLOOKUP(G500,Issues!A:D,4,FALSE))</f>
        <v>Prueba OK</v>
      </c>
      <c r="K500" s="21" t="str">
        <f t="shared" si="23"/>
        <v>OK</v>
      </c>
    </row>
    <row r="501" spans="1:11" x14ac:dyDescent="0.35">
      <c r="A501" s="23">
        <v>46090</v>
      </c>
      <c r="B501" s="19" t="str">
        <f t="shared" si="22"/>
        <v>marzo</v>
      </c>
      <c r="C501" s="19" t="str">
        <f t="shared" si="24"/>
        <v>2026</v>
      </c>
      <c r="D501" s="25" t="s">
        <v>206</v>
      </c>
      <c r="E501" s="25" t="s">
        <v>16</v>
      </c>
      <c r="F501" s="25" t="s">
        <v>178</v>
      </c>
      <c r="G501" s="24">
        <v>702</v>
      </c>
      <c r="H501" s="19" t="str">
        <f>IF(LEN(G501)=0,"",VLOOKUP(G501,Issues!A:D,2,FALSE))</f>
        <v>(700) Interaccion MO/MT (On Demand)</v>
      </c>
      <c r="I501" s="20" t="str">
        <f>IF(LEN(G501)=0,"",VLOOKUP(G501,Issues!A:D,3,FALSE))</f>
        <v>No se recibe mt.</v>
      </c>
      <c r="J501" s="19" t="str">
        <f>IF(LEN(G501)=0,"",VLOOKUP(G501,Issues!A:D,4,FALSE))</f>
        <v>Critico</v>
      </c>
      <c r="K501" s="21" t="str">
        <f t="shared" si="23"/>
        <v>Issue</v>
      </c>
    </row>
    <row r="502" spans="1:11" x14ac:dyDescent="0.35">
      <c r="A502" s="23">
        <v>46116</v>
      </c>
      <c r="B502" s="19" t="str">
        <f t="shared" si="22"/>
        <v>abril</v>
      </c>
      <c r="C502" s="19" t="str">
        <f t="shared" si="24"/>
        <v>2026</v>
      </c>
      <c r="D502" s="25" t="s">
        <v>206</v>
      </c>
      <c r="E502" s="25" t="s">
        <v>17</v>
      </c>
      <c r="F502" s="25" t="s">
        <v>181</v>
      </c>
      <c r="G502" s="24">
        <v>508</v>
      </c>
      <c r="H502" s="19" t="str">
        <f>IF(LEN(G502)=0,"",VLOOKUP(G502,Issues!A:D,2,FALSE))</f>
        <v>(500) Baja / Cancelacion</v>
      </c>
      <c r="I502" s="20" t="str">
        <f>IF(LEN(G502)=0,"",VLOOKUP(G502,Issues!A:D,3,FALSE))</f>
        <v>No permite dar baja por no tener saldo.</v>
      </c>
      <c r="J502" s="19" t="str">
        <f>IF(LEN(G502)=0,"",VLOOKUP(G502,Issues!A:D,4,FALSE))</f>
        <v>Critico</v>
      </c>
      <c r="K502" s="21" t="str">
        <f t="shared" si="23"/>
        <v>Issue</v>
      </c>
    </row>
    <row r="503" spans="1:11" x14ac:dyDescent="0.35">
      <c r="A503" s="23">
        <v>46065</v>
      </c>
      <c r="B503" s="19" t="str">
        <f t="shared" si="22"/>
        <v>febrero</v>
      </c>
      <c r="C503" s="19" t="str">
        <f t="shared" si="24"/>
        <v>2026</v>
      </c>
      <c r="D503" s="25" t="s">
        <v>207</v>
      </c>
      <c r="E503" s="25" t="s">
        <v>23</v>
      </c>
      <c r="F503" s="25" t="s">
        <v>195</v>
      </c>
      <c r="G503" s="24">
        <v>101</v>
      </c>
      <c r="H503" s="19" t="str">
        <f>IF(LEN(G503)=0,"",VLOOKUP(G503,Issues!A:D,2,FALSE))</f>
        <v>(100)  Alta</v>
      </c>
      <c r="I503" s="20" t="str">
        <f>IF(LEN(G503)=0,"",VLOOKUP(G503,Issues!A:D,3,FALSE))</f>
        <v>No se genero el alta - no hay respuesta al kw.</v>
      </c>
      <c r="J503" s="19" t="str">
        <f>IF(LEN(G503)=0,"",VLOOKUP(G503,Issues!A:D,4,FALSE))</f>
        <v>Critico</v>
      </c>
      <c r="K503" s="21" t="str">
        <f t="shared" si="23"/>
        <v>Issue</v>
      </c>
    </row>
    <row r="504" spans="1:11" x14ac:dyDescent="0.35">
      <c r="A504" s="23">
        <v>46061</v>
      </c>
      <c r="B504" s="19" t="str">
        <f t="shared" si="22"/>
        <v>febrero</v>
      </c>
      <c r="C504" s="19" t="str">
        <f t="shared" si="24"/>
        <v>2026</v>
      </c>
      <c r="D504" s="25" t="s">
        <v>206</v>
      </c>
      <c r="E504" s="25" t="s">
        <v>10</v>
      </c>
      <c r="F504" s="25" t="s">
        <v>161</v>
      </c>
      <c r="G504" s="24">
        <v>300</v>
      </c>
      <c r="H504" s="19" t="str">
        <f>IF(LEN(G504)=0,"",VLOOKUP(G504,Issues!A:D,2,FALSE))</f>
        <v>(300) Cobros</v>
      </c>
      <c r="I504" s="20" t="str">
        <f>IF(LEN(G504)=0,"",VLOOKUP(G504,Issues!A:D,3,FALSE))</f>
        <v>Cobro en valor y forma correcto.</v>
      </c>
      <c r="J504" s="19" t="str">
        <f>IF(LEN(G504)=0,"",VLOOKUP(G504,Issues!A:D,4,FALSE))</f>
        <v>Prueba OK</v>
      </c>
      <c r="K504" s="21" t="str">
        <f t="shared" si="23"/>
        <v>OK</v>
      </c>
    </row>
    <row r="505" spans="1:11" x14ac:dyDescent="0.35">
      <c r="A505" s="23">
        <v>46113</v>
      </c>
      <c r="B505" s="19" t="str">
        <f t="shared" si="22"/>
        <v>abril</v>
      </c>
      <c r="C505" s="19" t="str">
        <f t="shared" si="24"/>
        <v>2026</v>
      </c>
      <c r="D505" s="25" t="s">
        <v>207</v>
      </c>
      <c r="E505" s="25" t="s">
        <v>27</v>
      </c>
      <c r="F505" s="25" t="s">
        <v>201</v>
      </c>
      <c r="G505" s="24">
        <v>108</v>
      </c>
      <c r="H505" s="19" t="str">
        <f>IF(LEN(G505)=0,"",VLOOKUP(G505,Issues!A:D,2,FALSE))</f>
        <v>(100)  Alta</v>
      </c>
      <c r="I505" s="20" t="str">
        <f>IF(LEN(G505)=0,"",VLOOKUP(G505,Issues!A:D,3,FALSE))</f>
        <v>Inconsistencias en t&amp;c en la lp.</v>
      </c>
      <c r="J505" s="19" t="str">
        <f>IF(LEN(G505)=0,"",VLOOKUP(G505,Issues!A:D,4,FALSE))</f>
        <v>Critico</v>
      </c>
      <c r="K505" s="21" t="str">
        <f t="shared" si="23"/>
        <v>Issue</v>
      </c>
    </row>
    <row r="506" spans="1:11" x14ac:dyDescent="0.35">
      <c r="A506" s="23">
        <v>46095</v>
      </c>
      <c r="B506" s="19" t="str">
        <f t="shared" si="22"/>
        <v>marzo</v>
      </c>
      <c r="C506" s="19" t="str">
        <f t="shared" si="24"/>
        <v>2026</v>
      </c>
      <c r="D506" s="25" t="s">
        <v>206</v>
      </c>
      <c r="E506" s="25" t="s">
        <v>27</v>
      </c>
      <c r="F506" s="25" t="s">
        <v>200</v>
      </c>
      <c r="G506" s="24">
        <v>200</v>
      </c>
      <c r="H506" s="19" t="str">
        <f>IF(LEN(G506)=0,"",VLOOKUP(G506,Issues!A:D,2,FALSE))</f>
        <v>(200) Contenidos</v>
      </c>
      <c r="I506" s="20" t="str">
        <f>IF(LEN(G506)=0,"",VLOOKUP(G506,Issues!A:D,3,FALSE))</f>
        <v>Contenidos recibido con éxito.</v>
      </c>
      <c r="J506" s="19" t="str">
        <f>IF(LEN(G506)=0,"",VLOOKUP(G506,Issues!A:D,4,FALSE))</f>
        <v>Prueba OK</v>
      </c>
      <c r="K506" s="21" t="str">
        <f t="shared" si="23"/>
        <v>OK</v>
      </c>
    </row>
    <row r="507" spans="1:11" x14ac:dyDescent="0.35">
      <c r="A507" s="23">
        <v>46128</v>
      </c>
      <c r="B507" s="19" t="str">
        <f t="shared" si="22"/>
        <v>abril</v>
      </c>
      <c r="C507" s="19" t="str">
        <f t="shared" si="24"/>
        <v>2026</v>
      </c>
      <c r="D507" s="25" t="s">
        <v>206</v>
      </c>
      <c r="E507" s="25" t="s">
        <v>16</v>
      </c>
      <c r="F507" s="25" t="s">
        <v>176</v>
      </c>
      <c r="G507" s="24">
        <v>307</v>
      </c>
      <c r="H507" s="19" t="str">
        <f>IF(LEN(G507)=0,"",VLOOKUP(G507,Issues!A:D,2,FALSE))</f>
        <v>(300) Cobros</v>
      </c>
      <c r="I507" s="20" t="str">
        <f>IF(LEN(G507)=0,"",VLOOKUP(G507,Issues!A:D,3,FALSE))</f>
        <v>Inconsistencias con el cobro escalonado.</v>
      </c>
      <c r="J507" s="19" t="str">
        <f>IF(LEN(G507)=0,"",VLOOKUP(G507,Issues!A:D,4,FALSE))</f>
        <v>Critico</v>
      </c>
      <c r="K507" s="21" t="str">
        <f t="shared" si="23"/>
        <v>Issue</v>
      </c>
    </row>
    <row r="508" spans="1:11" x14ac:dyDescent="0.35">
      <c r="A508" s="23">
        <v>46064</v>
      </c>
      <c r="B508" s="19" t="str">
        <f t="shared" si="22"/>
        <v>febrero</v>
      </c>
      <c r="C508" s="19" t="str">
        <f t="shared" si="24"/>
        <v>2026</v>
      </c>
      <c r="D508" s="25" t="s">
        <v>208</v>
      </c>
      <c r="E508" s="25" t="s">
        <v>23</v>
      </c>
      <c r="F508" s="25" t="s">
        <v>194</v>
      </c>
      <c r="G508" s="24">
        <v>113</v>
      </c>
      <c r="H508" s="19" t="str">
        <f>IF(LEN(G508)=0,"",VLOOKUP(G508,Issues!A:D,2,FALSE))</f>
        <v>(100)  Alta</v>
      </c>
      <c r="I508" s="20" t="str">
        <f>IF(LEN(G508)=0,"",VLOOKUP(G508,Issues!A:D,3,FALSE))</f>
        <v>Servicio suspendido.</v>
      </c>
      <c r="J508" s="19" t="str">
        <f>IF(LEN(G508)=0,"",VLOOKUP(G508,Issues!A:D,4,FALSE))</f>
        <v>Medio</v>
      </c>
      <c r="K508" s="21" t="str">
        <f t="shared" si="23"/>
        <v>Issue</v>
      </c>
    </row>
    <row r="509" spans="1:11" x14ac:dyDescent="0.35">
      <c r="A509" s="23">
        <v>46032</v>
      </c>
      <c r="B509" s="19" t="str">
        <f t="shared" si="22"/>
        <v>enero</v>
      </c>
      <c r="C509" s="19" t="str">
        <f t="shared" si="24"/>
        <v>2026</v>
      </c>
      <c r="D509" s="25" t="s">
        <v>207</v>
      </c>
      <c r="E509" s="25" t="s">
        <v>19</v>
      </c>
      <c r="F509" s="25" t="s">
        <v>185</v>
      </c>
      <c r="G509" s="24">
        <v>700</v>
      </c>
      <c r="H509" s="19" t="str">
        <f>IF(LEN(G509)=0,"",VLOOKUP(G509,Issues!A:D,2,FALSE))</f>
        <v>(700) Interaccion MO/MT (On Demand)</v>
      </c>
      <c r="I509" s="20" t="str">
        <f>IF(LEN(G509)=0,"",VLOOKUP(G509,Issues!A:D,3,FALSE))</f>
        <v>Flujo MO/MT con éxito.</v>
      </c>
      <c r="J509" s="19" t="str">
        <f>IF(LEN(G509)=0,"",VLOOKUP(G509,Issues!A:D,4,FALSE))</f>
        <v>Prueba OK</v>
      </c>
      <c r="K509" s="21" t="str">
        <f t="shared" si="23"/>
        <v>OK</v>
      </c>
    </row>
    <row r="510" spans="1:11" x14ac:dyDescent="0.35">
      <c r="A510" s="23">
        <v>46147</v>
      </c>
      <c r="B510" s="19" t="str">
        <f t="shared" si="22"/>
        <v>mayo</v>
      </c>
      <c r="C510" s="19" t="str">
        <f t="shared" si="24"/>
        <v>2026</v>
      </c>
      <c r="D510" s="25" t="s">
        <v>206</v>
      </c>
      <c r="E510" s="25" t="s">
        <v>20</v>
      </c>
      <c r="F510" s="25" t="s">
        <v>189</v>
      </c>
      <c r="G510" s="24">
        <v>700</v>
      </c>
      <c r="H510" s="19" t="str">
        <f>IF(LEN(G510)=0,"",VLOOKUP(G510,Issues!A:D,2,FALSE))</f>
        <v>(700) Interaccion MO/MT (On Demand)</v>
      </c>
      <c r="I510" s="20" t="str">
        <f>IF(LEN(G510)=0,"",VLOOKUP(G510,Issues!A:D,3,FALSE))</f>
        <v>Flujo MO/MT con éxito.</v>
      </c>
      <c r="J510" s="19" t="str">
        <f>IF(LEN(G510)=0,"",VLOOKUP(G510,Issues!A:D,4,FALSE))</f>
        <v>Prueba OK</v>
      </c>
      <c r="K510" s="21" t="str">
        <f t="shared" si="23"/>
        <v>OK</v>
      </c>
    </row>
    <row r="511" spans="1:11" x14ac:dyDescent="0.35">
      <c r="A511" s="23">
        <v>46069</v>
      </c>
      <c r="B511" s="19" t="str">
        <f t="shared" si="22"/>
        <v>febrero</v>
      </c>
      <c r="C511" s="19" t="str">
        <f t="shared" si="24"/>
        <v>2026</v>
      </c>
      <c r="D511" s="25" t="s">
        <v>206</v>
      </c>
      <c r="E511" s="25" t="s">
        <v>22</v>
      </c>
      <c r="F511" s="25" t="s">
        <v>158</v>
      </c>
      <c r="G511" s="24">
        <v>703</v>
      </c>
      <c r="H511" s="19" t="str">
        <f>IF(LEN(G511)=0,"",VLOOKUP(G511,Issues!A:D,2,FALSE))</f>
        <v>(700) Interaccion MO/MT (On Demand)</v>
      </c>
      <c r="I511" s="20" t="str">
        <f>IF(LEN(G511)=0,"",VLOOKUP(G511,Issues!A:D,3,FALSE))</f>
        <v>Fallas en la interaccion mo/mt.</v>
      </c>
      <c r="J511" s="19" t="str">
        <f>IF(LEN(G511)=0,"",VLOOKUP(G511,Issues!A:D,4,FALSE))</f>
        <v>Critico</v>
      </c>
      <c r="K511" s="21" t="str">
        <f t="shared" si="23"/>
        <v>Issue</v>
      </c>
    </row>
    <row r="512" spans="1:11" x14ac:dyDescent="0.35">
      <c r="A512" s="23">
        <v>46073</v>
      </c>
      <c r="B512" s="19" t="str">
        <f t="shared" si="22"/>
        <v>febrero</v>
      </c>
      <c r="C512" s="19" t="str">
        <f t="shared" si="24"/>
        <v>2026</v>
      </c>
      <c r="D512" s="25" t="s">
        <v>206</v>
      </c>
      <c r="E512" s="25" t="s">
        <v>22</v>
      </c>
      <c r="F512" s="25" t="s">
        <v>150</v>
      </c>
      <c r="G512" s="24">
        <v>100</v>
      </c>
      <c r="H512" s="19" t="str">
        <f>IF(LEN(G512)=0,"",VLOOKUP(G512,Issues!A:D,2,FALSE))</f>
        <v>(100)  Alta</v>
      </c>
      <c r="I512" s="20" t="str">
        <f>IF(LEN(G512)=0,"",VLOOKUP(G512,Issues!A:D,3,FALSE))</f>
        <v>Alta con éxito.</v>
      </c>
      <c r="J512" s="19" t="str">
        <f>IF(LEN(G512)=0,"",VLOOKUP(G512,Issues!A:D,4,FALSE))</f>
        <v>Prueba OK</v>
      </c>
      <c r="K512" s="21" t="str">
        <f t="shared" si="23"/>
        <v>OK</v>
      </c>
    </row>
    <row r="513" spans="1:11" x14ac:dyDescent="0.35">
      <c r="A513" s="23">
        <v>46078</v>
      </c>
      <c r="B513" s="19" t="str">
        <f t="shared" si="22"/>
        <v>febrero</v>
      </c>
      <c r="C513" s="19" t="str">
        <f t="shared" si="24"/>
        <v>2026</v>
      </c>
      <c r="D513" s="25" t="s">
        <v>207</v>
      </c>
      <c r="E513" s="25" t="s">
        <v>16</v>
      </c>
      <c r="F513" s="25" t="s">
        <v>177</v>
      </c>
      <c r="G513" s="24">
        <v>504</v>
      </c>
      <c r="H513" s="19" t="str">
        <f>IF(LEN(G513)=0,"",VLOOKUP(G513,Issues!A:D,2,FALSE))</f>
        <v>(500) Baja / Cancelacion</v>
      </c>
      <c r="I513" s="20" t="str">
        <f>IF(LEN(G513)=0,"",VLOOKUP(G513,Issues!A:D,3,FALSE))</f>
        <v>No funciona la baja desde la lp.</v>
      </c>
      <c r="J513" s="19" t="str">
        <f>IF(LEN(G513)=0,"",VLOOKUP(G513,Issues!A:D,4,FALSE))</f>
        <v>Critico</v>
      </c>
      <c r="K513" s="21" t="str">
        <f t="shared" si="23"/>
        <v>Issue</v>
      </c>
    </row>
    <row r="514" spans="1:11" x14ac:dyDescent="0.35">
      <c r="A514" s="23">
        <v>46083</v>
      </c>
      <c r="B514" s="19" t="str">
        <f t="shared" si="22"/>
        <v>marzo</v>
      </c>
      <c r="C514" s="19" t="str">
        <f t="shared" si="24"/>
        <v>2026</v>
      </c>
      <c r="D514" s="25" t="s">
        <v>210</v>
      </c>
      <c r="E514" s="25" t="s">
        <v>25</v>
      </c>
      <c r="F514" s="25" t="s">
        <v>197</v>
      </c>
      <c r="G514" s="24">
        <v>800</v>
      </c>
      <c r="H514" s="19" t="str">
        <f>IF(LEN(G514)=0,"",VLOOKUP(G514,Issues!A:D,2,FALSE))</f>
        <v>(800) Politicas especiales operadores</v>
      </c>
      <c r="I514" s="20" t="str">
        <f>IF(LEN(G514)=0,"",VLOOKUP(G514,Issues!A:D,3,FALSE))</f>
        <v>Politicas de los operadores cumplidas.</v>
      </c>
      <c r="J514" s="19" t="str">
        <f>IF(LEN(G514)=0,"",VLOOKUP(G514,Issues!A:D,4,FALSE))</f>
        <v>Prueba OK</v>
      </c>
      <c r="K514" s="21" t="str">
        <f t="shared" si="23"/>
        <v>OK</v>
      </c>
    </row>
    <row r="515" spans="1:11" x14ac:dyDescent="0.35">
      <c r="A515" s="23">
        <v>46031</v>
      </c>
      <c r="B515" s="19" t="str">
        <f t="shared" ref="B515:B578" si="25">IF(LEN(A515)=0,"",TEXT(A515,"mmmm"))</f>
        <v>enero</v>
      </c>
      <c r="C515" s="19" t="str">
        <f t="shared" si="24"/>
        <v>2026</v>
      </c>
      <c r="D515" s="25" t="s">
        <v>207</v>
      </c>
      <c r="E515" s="25" t="s">
        <v>11</v>
      </c>
      <c r="F515" s="25" t="s">
        <v>166</v>
      </c>
      <c r="G515" s="24">
        <v>114</v>
      </c>
      <c r="H515" s="19" t="str">
        <f>IF(LEN(G515)=0,"",VLOOKUP(G515,Issues!A:D,2,FALSE))</f>
        <v>(100)  Alta</v>
      </c>
      <c r="I515" s="20" t="str">
        <f>IF(LEN(G515)=0,"",VLOOKUP(G515,Issues!A:D,3,FALSE))</f>
        <v>Falla en doble optin en sim.</v>
      </c>
      <c r="J515" s="19" t="str">
        <f>IF(LEN(G515)=0,"",VLOOKUP(G515,Issues!A:D,4,FALSE))</f>
        <v>Critico</v>
      </c>
      <c r="K515" s="21" t="str">
        <f t="shared" ref="K515:K578" si="26">IF(LEN(G515)=0,"",IF(OR(J515="critico",J515="Medio",J515="Bajo"),"Issue",IF(J515="Prueba OK","OK","")))</f>
        <v>Issue</v>
      </c>
    </row>
    <row r="516" spans="1:11" x14ac:dyDescent="0.35">
      <c r="A516" s="23">
        <v>46111</v>
      </c>
      <c r="B516" s="19" t="str">
        <f t="shared" si="25"/>
        <v>marzo</v>
      </c>
      <c r="C516" s="19" t="str">
        <f t="shared" si="24"/>
        <v>2026</v>
      </c>
      <c r="D516" s="25" t="s">
        <v>207</v>
      </c>
      <c r="E516" s="25" t="s">
        <v>19</v>
      </c>
      <c r="F516" s="25" t="s">
        <v>186</v>
      </c>
      <c r="G516" s="24">
        <v>200</v>
      </c>
      <c r="H516" s="19" t="str">
        <f>IF(LEN(G516)=0,"",VLOOKUP(G516,Issues!A:D,2,FALSE))</f>
        <v>(200) Contenidos</v>
      </c>
      <c r="I516" s="20" t="str">
        <f>IF(LEN(G516)=0,"",VLOOKUP(G516,Issues!A:D,3,FALSE))</f>
        <v>Contenidos recibido con éxito.</v>
      </c>
      <c r="J516" s="19" t="str">
        <f>IF(LEN(G516)=0,"",VLOOKUP(G516,Issues!A:D,4,FALSE))</f>
        <v>Prueba OK</v>
      </c>
      <c r="K516" s="21" t="str">
        <f t="shared" si="26"/>
        <v>OK</v>
      </c>
    </row>
    <row r="517" spans="1:11" x14ac:dyDescent="0.35">
      <c r="A517" s="23">
        <v>46138</v>
      </c>
      <c r="B517" s="19" t="str">
        <f t="shared" si="25"/>
        <v>abril</v>
      </c>
      <c r="C517" s="19" t="str">
        <f t="shared" si="24"/>
        <v>2026</v>
      </c>
      <c r="D517" s="25" t="s">
        <v>207</v>
      </c>
      <c r="E517" s="25" t="s">
        <v>22</v>
      </c>
      <c r="F517" s="25" t="s">
        <v>150</v>
      </c>
      <c r="G517" s="24">
        <v>500</v>
      </c>
      <c r="H517" s="19" t="str">
        <f>IF(LEN(G517)=0,"",VLOOKUP(G517,Issues!A:D,2,FALSE))</f>
        <v>(500) Baja / Cancelacion</v>
      </c>
      <c r="I517" s="20" t="str">
        <f>IF(LEN(G517)=0,"",VLOOKUP(G517,Issues!A:D,3,FALSE))</f>
        <v>Baja con éxito.</v>
      </c>
      <c r="J517" s="19" t="str">
        <f>IF(LEN(G517)=0,"",VLOOKUP(G517,Issues!A:D,4,FALSE))</f>
        <v>Prueba OK</v>
      </c>
      <c r="K517" s="21" t="str">
        <f t="shared" si="26"/>
        <v>OK</v>
      </c>
    </row>
    <row r="518" spans="1:11" x14ac:dyDescent="0.35">
      <c r="A518" s="23">
        <v>46067</v>
      </c>
      <c r="B518" s="19" t="str">
        <f t="shared" si="25"/>
        <v>febrero</v>
      </c>
      <c r="C518" s="19" t="str">
        <f t="shared" si="24"/>
        <v>2026</v>
      </c>
      <c r="D518" s="25" t="s">
        <v>208</v>
      </c>
      <c r="E518" s="25" t="s">
        <v>26</v>
      </c>
      <c r="F518" s="25" t="s">
        <v>156</v>
      </c>
      <c r="G518" s="24">
        <v>404</v>
      </c>
      <c r="H518" s="19" t="str">
        <f>IF(LEN(G518)=0,"",VLOOKUP(G518,Issues!A:D,2,FALSE))</f>
        <v>(400) Portales / Web-App</v>
      </c>
      <c r="I518" s="20" t="str">
        <f>IF(LEN(G518)=0,"",VLOOKUP(G518,Issues!A:D,3,FALSE))</f>
        <v>No cumple las politicas de estructura del operador.</v>
      </c>
      <c r="J518" s="19" t="str">
        <f>IF(LEN(G518)=0,"",VLOOKUP(G518,Issues!A:D,4,FALSE))</f>
        <v>Critico</v>
      </c>
      <c r="K518" s="21" t="str">
        <f t="shared" si="26"/>
        <v>Issue</v>
      </c>
    </row>
    <row r="519" spans="1:11" x14ac:dyDescent="0.35">
      <c r="A519" s="23">
        <v>46060</v>
      </c>
      <c r="B519" s="19" t="str">
        <f t="shared" si="25"/>
        <v>febrero</v>
      </c>
      <c r="C519" s="19" t="str">
        <f t="shared" si="24"/>
        <v>2026</v>
      </c>
      <c r="D519" s="25" t="s">
        <v>206</v>
      </c>
      <c r="E519" s="25" t="s">
        <v>12</v>
      </c>
      <c r="F519" s="25" t="s">
        <v>168</v>
      </c>
      <c r="G519" s="24">
        <v>407</v>
      </c>
      <c r="H519" s="19" t="str">
        <f>IF(LEN(G519)=0,"",VLOOKUP(G519,Issues!A:D,2,FALSE))</f>
        <v>(400) Portales / Web-App</v>
      </c>
      <c r="I519" s="20" t="str">
        <f>IF(LEN(G519)=0,"",VLOOKUP(G519,Issues!A:D,3,FALSE))</f>
        <v>No funciona la interaccion.</v>
      </c>
      <c r="J519" s="19" t="str">
        <f>IF(LEN(G519)=0,"",VLOOKUP(G519,Issues!A:D,4,FALSE))</f>
        <v>Critico</v>
      </c>
      <c r="K519" s="21" t="str">
        <f t="shared" si="26"/>
        <v>Issue</v>
      </c>
    </row>
    <row r="520" spans="1:11" x14ac:dyDescent="0.35">
      <c r="A520" s="23">
        <v>46156</v>
      </c>
      <c r="B520" s="19" t="str">
        <f t="shared" si="25"/>
        <v>mayo</v>
      </c>
      <c r="C520" s="19" t="str">
        <f t="shared" si="24"/>
        <v>2026</v>
      </c>
      <c r="D520" s="25" t="s">
        <v>207</v>
      </c>
      <c r="E520" s="25" t="s">
        <v>12</v>
      </c>
      <c r="F520" s="25" t="s">
        <v>168</v>
      </c>
      <c r="G520" s="24">
        <v>800</v>
      </c>
      <c r="H520" s="19" t="str">
        <f>IF(LEN(G520)=0,"",VLOOKUP(G520,Issues!A:D,2,FALSE))</f>
        <v>(800) Politicas especiales operadores</v>
      </c>
      <c r="I520" s="20" t="str">
        <f>IF(LEN(G520)=0,"",VLOOKUP(G520,Issues!A:D,3,FALSE))</f>
        <v>Politicas de los operadores cumplidas.</v>
      </c>
      <c r="J520" s="19" t="str">
        <f>IF(LEN(G520)=0,"",VLOOKUP(G520,Issues!A:D,4,FALSE))</f>
        <v>Prueba OK</v>
      </c>
      <c r="K520" s="21" t="str">
        <f t="shared" si="26"/>
        <v>OK</v>
      </c>
    </row>
    <row r="521" spans="1:11" x14ac:dyDescent="0.35">
      <c r="A521" s="23">
        <v>46121</v>
      </c>
      <c r="B521" s="19" t="str">
        <f t="shared" si="25"/>
        <v>abril</v>
      </c>
      <c r="C521" s="19" t="str">
        <f t="shared" si="24"/>
        <v>2026</v>
      </c>
      <c r="D521" s="25" t="s">
        <v>206</v>
      </c>
      <c r="E521" s="25" t="s">
        <v>13</v>
      </c>
      <c r="F521" s="25" t="s">
        <v>157</v>
      </c>
      <c r="G521" s="24">
        <v>302</v>
      </c>
      <c r="H521" s="19" t="str">
        <f>IF(LEN(G521)=0,"",VLOOKUP(G521,Issues!A:D,2,FALSE))</f>
        <v>(300) Cobros</v>
      </c>
      <c r="I521" s="20" t="str">
        <f>IF(LEN(G521)=0,"",VLOOKUP(G521,Issues!A:D,3,FALSE))</f>
        <v>No llego contenido (no hubo cobro).</v>
      </c>
      <c r="J521" s="19" t="str">
        <f>IF(LEN(G521)=0,"",VLOOKUP(G521,Issues!A:D,4,FALSE))</f>
        <v>Critico</v>
      </c>
      <c r="K521" s="21" t="str">
        <f t="shared" si="26"/>
        <v>Issue</v>
      </c>
    </row>
    <row r="522" spans="1:11" x14ac:dyDescent="0.35">
      <c r="A522" s="23">
        <v>46143</v>
      </c>
      <c r="B522" s="19" t="str">
        <f t="shared" si="25"/>
        <v>mayo</v>
      </c>
      <c r="C522" s="19" t="str">
        <f t="shared" si="24"/>
        <v>2026</v>
      </c>
      <c r="D522" s="25" t="s">
        <v>210</v>
      </c>
      <c r="E522" s="25" t="s">
        <v>13</v>
      </c>
      <c r="F522" s="25" t="s">
        <v>157</v>
      </c>
      <c r="G522" s="24">
        <v>700</v>
      </c>
      <c r="H522" s="19" t="str">
        <f>IF(LEN(G522)=0,"",VLOOKUP(G522,Issues!A:D,2,FALSE))</f>
        <v>(700) Interaccion MO/MT (On Demand)</v>
      </c>
      <c r="I522" s="20" t="str">
        <f>IF(LEN(G522)=0,"",VLOOKUP(G522,Issues!A:D,3,FALSE))</f>
        <v>Flujo MO/MT con éxito.</v>
      </c>
      <c r="J522" s="19" t="str">
        <f>IF(LEN(G522)=0,"",VLOOKUP(G522,Issues!A:D,4,FALSE))</f>
        <v>Prueba OK</v>
      </c>
      <c r="K522" s="21" t="str">
        <f t="shared" si="26"/>
        <v>OK</v>
      </c>
    </row>
    <row r="523" spans="1:11" x14ac:dyDescent="0.35">
      <c r="A523" s="23">
        <v>46082</v>
      </c>
      <c r="B523" s="19" t="str">
        <f t="shared" si="25"/>
        <v>marzo</v>
      </c>
      <c r="C523" s="19" t="str">
        <f t="shared" si="24"/>
        <v>2026</v>
      </c>
      <c r="D523" s="25" t="s">
        <v>207</v>
      </c>
      <c r="E523" s="25" t="s">
        <v>25</v>
      </c>
      <c r="F523" s="25" t="s">
        <v>198</v>
      </c>
      <c r="G523" s="24">
        <v>701</v>
      </c>
      <c r="H523" s="19" t="str">
        <f>IF(LEN(G523)=0,"",VLOOKUP(G523,Issues!A:D,2,FALSE))</f>
        <v>(700) Interaccion MO/MT (On Demand)</v>
      </c>
      <c r="I523" s="20" t="str">
        <f>IF(LEN(G523)=0,"",VLOOKUP(G523,Issues!A:D,3,FALSE))</f>
        <v>No envia el mo.</v>
      </c>
      <c r="J523" s="19" t="str">
        <f>IF(LEN(G523)=0,"",VLOOKUP(G523,Issues!A:D,4,FALSE))</f>
        <v>Critico</v>
      </c>
      <c r="K523" s="21" t="str">
        <f t="shared" si="26"/>
        <v>Issue</v>
      </c>
    </row>
    <row r="524" spans="1:11" x14ac:dyDescent="0.35">
      <c r="A524" s="23">
        <v>46106</v>
      </c>
      <c r="B524" s="19" t="str">
        <f t="shared" si="25"/>
        <v>marzo</v>
      </c>
      <c r="C524" s="19" t="str">
        <f t="shared" si="24"/>
        <v>2026</v>
      </c>
      <c r="D524" s="25" t="s">
        <v>207</v>
      </c>
      <c r="E524" s="25" t="s">
        <v>13</v>
      </c>
      <c r="F524" s="25" t="s">
        <v>153</v>
      </c>
      <c r="G524" s="24">
        <v>400</v>
      </c>
      <c r="H524" s="19" t="str">
        <f>IF(LEN(G524)=0,"",VLOOKUP(G524,Issues!A:D,2,FALSE))</f>
        <v>(400) Portales / Web-App</v>
      </c>
      <c r="I524" s="20" t="str">
        <f>IF(LEN(G524)=0,"",VLOOKUP(G524,Issues!A:D,3,FALSE))</f>
        <v>Portal evaluado con éxito.</v>
      </c>
      <c r="J524" s="19" t="str">
        <f>IF(LEN(G524)=0,"",VLOOKUP(G524,Issues!A:D,4,FALSE))</f>
        <v>Prueba OK</v>
      </c>
      <c r="K524" s="21" t="str">
        <f t="shared" si="26"/>
        <v>OK</v>
      </c>
    </row>
    <row r="525" spans="1:11" x14ac:dyDescent="0.35">
      <c r="A525" s="23">
        <v>46150</v>
      </c>
      <c r="B525" s="19" t="str">
        <f t="shared" si="25"/>
        <v>mayo</v>
      </c>
      <c r="C525" s="19" t="str">
        <f t="shared" si="24"/>
        <v>2026</v>
      </c>
      <c r="D525" s="25" t="s">
        <v>207</v>
      </c>
      <c r="E525" s="25" t="s">
        <v>19</v>
      </c>
      <c r="F525" s="25" t="s">
        <v>187</v>
      </c>
      <c r="G525" s="24">
        <v>104</v>
      </c>
      <c r="H525" s="19" t="str">
        <f>IF(LEN(G525)=0,"",VLOOKUP(G525,Issues!A:D,2,FALSE))</f>
        <v>(100)  Alta</v>
      </c>
      <c r="I525" s="20" t="str">
        <f>IF(LEN(G525)=0,"",VLOOKUP(G525,Issues!A:D,3,FALSE))</f>
        <v>No llega pin code.</v>
      </c>
      <c r="J525" s="19" t="str">
        <f>IF(LEN(G525)=0,"",VLOOKUP(G525,Issues!A:D,4,FALSE))</f>
        <v>Medio</v>
      </c>
      <c r="K525" s="21" t="str">
        <f t="shared" si="26"/>
        <v>Issue</v>
      </c>
    </row>
    <row r="526" spans="1:11" x14ac:dyDescent="0.35">
      <c r="A526" s="23">
        <v>46042</v>
      </c>
      <c r="B526" s="19" t="str">
        <f t="shared" si="25"/>
        <v>enero</v>
      </c>
      <c r="C526" s="19" t="str">
        <f t="shared" si="24"/>
        <v>2026</v>
      </c>
      <c r="D526" s="25" t="s">
        <v>204</v>
      </c>
      <c r="E526" s="25" t="s">
        <v>20</v>
      </c>
      <c r="F526" s="25" t="s">
        <v>189</v>
      </c>
      <c r="G526" s="24">
        <v>800</v>
      </c>
      <c r="H526" s="19" t="str">
        <f>IF(LEN(G526)=0,"",VLOOKUP(G526,Issues!A:D,2,FALSE))</f>
        <v>(800) Politicas especiales operadores</v>
      </c>
      <c r="I526" s="20" t="str">
        <f>IF(LEN(G526)=0,"",VLOOKUP(G526,Issues!A:D,3,FALSE))</f>
        <v>Politicas de los operadores cumplidas.</v>
      </c>
      <c r="J526" s="19" t="str">
        <f>IF(LEN(G526)=0,"",VLOOKUP(G526,Issues!A:D,4,FALSE))</f>
        <v>Prueba OK</v>
      </c>
      <c r="K526" s="21" t="str">
        <f t="shared" si="26"/>
        <v>OK</v>
      </c>
    </row>
    <row r="527" spans="1:11" x14ac:dyDescent="0.35">
      <c r="A527" s="23">
        <v>46071</v>
      </c>
      <c r="B527" s="19" t="str">
        <f t="shared" si="25"/>
        <v>febrero</v>
      </c>
      <c r="C527" s="19" t="str">
        <f t="shared" si="24"/>
        <v>2026</v>
      </c>
      <c r="D527" s="25" t="s">
        <v>206</v>
      </c>
      <c r="E527" s="25" t="s">
        <v>12</v>
      </c>
      <c r="F527" s="25" t="s">
        <v>169</v>
      </c>
      <c r="G527" s="24">
        <v>402</v>
      </c>
      <c r="H527" s="19" t="str">
        <f>IF(LEN(G527)=0,"",VLOOKUP(G527,Issues!A:D,2,FALSE))</f>
        <v>(400) Portales / Web-App</v>
      </c>
      <c r="I527" s="20" t="str">
        <f>IF(LEN(G527)=0,"",VLOOKUP(G527,Issues!A:D,3,FALSE))</f>
        <v>Portal / web-app caida.</v>
      </c>
      <c r="J527" s="19" t="str">
        <f>IF(LEN(G527)=0,"",VLOOKUP(G527,Issues!A:D,4,FALSE))</f>
        <v>Critico</v>
      </c>
      <c r="K527" s="21" t="str">
        <f t="shared" si="26"/>
        <v>Issue</v>
      </c>
    </row>
    <row r="528" spans="1:11" x14ac:dyDescent="0.35">
      <c r="A528" s="23">
        <v>46109</v>
      </c>
      <c r="B528" s="19" t="str">
        <f t="shared" si="25"/>
        <v>marzo</v>
      </c>
      <c r="C528" s="19" t="str">
        <f t="shared" si="24"/>
        <v>2026</v>
      </c>
      <c r="D528" s="25" t="s">
        <v>207</v>
      </c>
      <c r="E528" s="25" t="s">
        <v>11</v>
      </c>
      <c r="F528" s="25" t="s">
        <v>164</v>
      </c>
      <c r="G528" s="24">
        <v>705</v>
      </c>
      <c r="H528" s="19" t="str">
        <f>IF(LEN(G528)=0,"",VLOOKUP(G528,Issues!A:D,2,FALSE))</f>
        <v>(700) Interaccion MO/MT (On Demand)</v>
      </c>
      <c r="I528" s="20" t="str">
        <f>IF(LEN(G528)=0,"",VLOOKUP(G528,Issues!A:D,3,FALSE))</f>
        <v>No funcionan los kw´s especiales (info, puntaje, ayuda, etc).</v>
      </c>
      <c r="J528" s="19" t="str">
        <f>IF(LEN(G528)=0,"",VLOOKUP(G528,Issues!A:D,4,FALSE))</f>
        <v>Medio</v>
      </c>
      <c r="K528" s="21" t="str">
        <f t="shared" si="26"/>
        <v>Issue</v>
      </c>
    </row>
    <row r="529" spans="1:11" x14ac:dyDescent="0.35">
      <c r="A529" s="23">
        <v>46121</v>
      </c>
      <c r="B529" s="19" t="str">
        <f t="shared" si="25"/>
        <v>abril</v>
      </c>
      <c r="C529" s="19" t="str">
        <f t="shared" si="24"/>
        <v>2026</v>
      </c>
      <c r="D529" s="25" t="s">
        <v>207</v>
      </c>
      <c r="E529" s="25" t="s">
        <v>15</v>
      </c>
      <c r="F529" s="25" t="s">
        <v>174</v>
      </c>
      <c r="G529" s="24">
        <v>106</v>
      </c>
      <c r="H529" s="19" t="str">
        <f>IF(LEN(G529)=0,"",VLOOKUP(G529,Issues!A:D,2,FALSE))</f>
        <v>(100)  Alta</v>
      </c>
      <c r="I529" s="20" t="str">
        <f>IF(LEN(G529)=0,"",VLOOKUP(G529,Issues!A:D,3,FALSE))</f>
        <v>Falla en lp de suscripción web.</v>
      </c>
      <c r="J529" s="19" t="str">
        <f>IF(LEN(G529)=0,"",VLOOKUP(G529,Issues!A:D,4,FALSE))</f>
        <v>Critico</v>
      </c>
      <c r="K529" s="21" t="str">
        <f t="shared" si="26"/>
        <v>Issue</v>
      </c>
    </row>
    <row r="530" spans="1:11" x14ac:dyDescent="0.35">
      <c r="A530" s="23">
        <v>46156</v>
      </c>
      <c r="B530" s="19" t="str">
        <f t="shared" si="25"/>
        <v>mayo</v>
      </c>
      <c r="C530" s="19" t="str">
        <f t="shared" si="24"/>
        <v>2026</v>
      </c>
      <c r="D530" s="25" t="s">
        <v>207</v>
      </c>
      <c r="E530" s="25" t="s">
        <v>22</v>
      </c>
      <c r="F530" s="25" t="s">
        <v>150</v>
      </c>
      <c r="G530" s="24">
        <v>114</v>
      </c>
      <c r="H530" s="19" t="str">
        <f>IF(LEN(G530)=0,"",VLOOKUP(G530,Issues!A:D,2,FALSE))</f>
        <v>(100)  Alta</v>
      </c>
      <c r="I530" s="20" t="str">
        <f>IF(LEN(G530)=0,"",VLOOKUP(G530,Issues!A:D,3,FALSE))</f>
        <v>Falla en doble optin en sim.</v>
      </c>
      <c r="J530" s="19" t="str">
        <f>IF(LEN(G530)=0,"",VLOOKUP(G530,Issues!A:D,4,FALSE))</f>
        <v>Critico</v>
      </c>
      <c r="K530" s="21" t="str">
        <f t="shared" si="26"/>
        <v>Issue</v>
      </c>
    </row>
    <row r="531" spans="1:11" x14ac:dyDescent="0.35">
      <c r="A531" s="23">
        <v>46023</v>
      </c>
      <c r="B531" s="19" t="str">
        <f t="shared" si="25"/>
        <v>enero</v>
      </c>
      <c r="C531" s="19" t="str">
        <f t="shared" ref="C531:C594" si="27">IF(LEN(A531)=0,"",TEXT(A531,"aaaa"))</f>
        <v>2026</v>
      </c>
      <c r="D531" s="25" t="s">
        <v>208</v>
      </c>
      <c r="E531" s="25" t="s">
        <v>10</v>
      </c>
      <c r="F531" s="25" t="s">
        <v>162</v>
      </c>
      <c r="G531" s="24">
        <v>705</v>
      </c>
      <c r="H531" s="19" t="str">
        <f>IF(LEN(G531)=0,"",VLOOKUP(G531,Issues!A:D,2,FALSE))</f>
        <v>(700) Interaccion MO/MT (On Demand)</v>
      </c>
      <c r="I531" s="20" t="str">
        <f>IF(LEN(G531)=0,"",VLOOKUP(G531,Issues!A:D,3,FALSE))</f>
        <v>No funcionan los kw´s especiales (info, puntaje, ayuda, etc).</v>
      </c>
      <c r="J531" s="19" t="str">
        <f>IF(LEN(G531)=0,"",VLOOKUP(G531,Issues!A:D,4,FALSE))</f>
        <v>Medio</v>
      </c>
      <c r="K531" s="21" t="str">
        <f t="shared" si="26"/>
        <v>Issue</v>
      </c>
    </row>
    <row r="532" spans="1:11" x14ac:dyDescent="0.35">
      <c r="A532" s="23">
        <v>46094</v>
      </c>
      <c r="B532" s="19" t="str">
        <f t="shared" si="25"/>
        <v>marzo</v>
      </c>
      <c r="C532" s="19" t="str">
        <f t="shared" si="27"/>
        <v>2026</v>
      </c>
      <c r="D532" s="25" t="s">
        <v>208</v>
      </c>
      <c r="E532" s="25" t="s">
        <v>25</v>
      </c>
      <c r="F532" s="25" t="s">
        <v>199</v>
      </c>
      <c r="G532" s="24">
        <v>800</v>
      </c>
      <c r="H532" s="19" t="str">
        <f>IF(LEN(G532)=0,"",VLOOKUP(G532,Issues!A:D,2,FALSE))</f>
        <v>(800) Politicas especiales operadores</v>
      </c>
      <c r="I532" s="20" t="str">
        <f>IF(LEN(G532)=0,"",VLOOKUP(G532,Issues!A:D,3,FALSE))</f>
        <v>Politicas de los operadores cumplidas.</v>
      </c>
      <c r="J532" s="19" t="str">
        <f>IF(LEN(G532)=0,"",VLOOKUP(G532,Issues!A:D,4,FALSE))</f>
        <v>Prueba OK</v>
      </c>
      <c r="K532" s="21" t="str">
        <f t="shared" si="26"/>
        <v>OK</v>
      </c>
    </row>
    <row r="533" spans="1:11" x14ac:dyDescent="0.35">
      <c r="A533" s="23">
        <v>46141</v>
      </c>
      <c r="B533" s="19" t="str">
        <f t="shared" si="25"/>
        <v>abril</v>
      </c>
      <c r="C533" s="19" t="str">
        <f t="shared" si="27"/>
        <v>2026</v>
      </c>
      <c r="D533" s="25" t="s">
        <v>207</v>
      </c>
      <c r="E533" s="25" t="s">
        <v>25</v>
      </c>
      <c r="F533" s="25" t="s">
        <v>199</v>
      </c>
      <c r="G533" s="24">
        <v>505</v>
      </c>
      <c r="H533" s="19" t="str">
        <f>IF(LEN(G533)=0,"",VLOOKUP(G533,Issues!A:D,2,FALSE))</f>
        <v>(500) Baja / Cancelacion</v>
      </c>
      <c r="I533" s="20" t="str">
        <f>IF(LEN(G533)=0,"",VLOOKUP(G533,Issues!A:D,3,FALSE))</f>
        <v>No funciona la baja desde tienda.</v>
      </c>
      <c r="J533" s="19" t="str">
        <f>IF(LEN(G533)=0,"",VLOOKUP(G533,Issues!A:D,4,FALSE))</f>
        <v>Critico</v>
      </c>
      <c r="K533" s="21" t="str">
        <f t="shared" si="26"/>
        <v>Issue</v>
      </c>
    </row>
    <row r="534" spans="1:11" x14ac:dyDescent="0.35">
      <c r="A534" s="23">
        <v>46091</v>
      </c>
      <c r="B534" s="19" t="str">
        <f t="shared" si="25"/>
        <v>marzo</v>
      </c>
      <c r="C534" s="19" t="str">
        <f t="shared" si="27"/>
        <v>2026</v>
      </c>
      <c r="D534" s="25" t="s">
        <v>208</v>
      </c>
      <c r="E534" s="25" t="s">
        <v>21</v>
      </c>
      <c r="F534" s="25" t="s">
        <v>191</v>
      </c>
      <c r="G534" s="24">
        <v>100</v>
      </c>
      <c r="H534" s="19" t="str">
        <f>IF(LEN(G534)=0,"",VLOOKUP(G534,Issues!A:D,2,FALSE))</f>
        <v>(100)  Alta</v>
      </c>
      <c r="I534" s="20" t="str">
        <f>IF(LEN(G534)=0,"",VLOOKUP(G534,Issues!A:D,3,FALSE))</f>
        <v>Alta con éxito.</v>
      </c>
      <c r="J534" s="19" t="str">
        <f>IF(LEN(G534)=0,"",VLOOKUP(G534,Issues!A:D,4,FALSE))</f>
        <v>Prueba OK</v>
      </c>
      <c r="K534" s="21" t="str">
        <f t="shared" si="26"/>
        <v>OK</v>
      </c>
    </row>
    <row r="535" spans="1:11" x14ac:dyDescent="0.35">
      <c r="A535" s="23">
        <v>46121</v>
      </c>
      <c r="B535" s="19" t="str">
        <f t="shared" si="25"/>
        <v>abril</v>
      </c>
      <c r="C535" s="19" t="str">
        <f t="shared" si="27"/>
        <v>2026</v>
      </c>
      <c r="D535" s="25" t="s">
        <v>206</v>
      </c>
      <c r="E535" s="25" t="s">
        <v>18</v>
      </c>
      <c r="F535" s="25" t="s">
        <v>183</v>
      </c>
      <c r="G535" s="24">
        <v>505</v>
      </c>
      <c r="H535" s="19" t="str">
        <f>IF(LEN(G535)=0,"",VLOOKUP(G535,Issues!A:D,2,FALSE))</f>
        <v>(500) Baja / Cancelacion</v>
      </c>
      <c r="I535" s="20" t="str">
        <f>IF(LEN(G535)=0,"",VLOOKUP(G535,Issues!A:D,3,FALSE))</f>
        <v>No funciona la baja desde tienda.</v>
      </c>
      <c r="J535" s="19" t="str">
        <f>IF(LEN(G535)=0,"",VLOOKUP(G535,Issues!A:D,4,FALSE))</f>
        <v>Critico</v>
      </c>
      <c r="K535" s="21" t="str">
        <f t="shared" si="26"/>
        <v>Issue</v>
      </c>
    </row>
    <row r="536" spans="1:11" x14ac:dyDescent="0.35">
      <c r="A536" s="23">
        <v>46044</v>
      </c>
      <c r="B536" s="19" t="str">
        <f t="shared" si="25"/>
        <v>enero</v>
      </c>
      <c r="C536" s="19" t="str">
        <f t="shared" si="27"/>
        <v>2026</v>
      </c>
      <c r="D536" s="25" t="s">
        <v>207</v>
      </c>
      <c r="E536" s="25" t="s">
        <v>22</v>
      </c>
      <c r="F536" s="25" t="s">
        <v>158</v>
      </c>
      <c r="G536" s="24">
        <v>800</v>
      </c>
      <c r="H536" s="19" t="str">
        <f>IF(LEN(G536)=0,"",VLOOKUP(G536,Issues!A:D,2,FALSE))</f>
        <v>(800) Politicas especiales operadores</v>
      </c>
      <c r="I536" s="20" t="str">
        <f>IF(LEN(G536)=0,"",VLOOKUP(G536,Issues!A:D,3,FALSE))</f>
        <v>Politicas de los operadores cumplidas.</v>
      </c>
      <c r="J536" s="19" t="str">
        <f>IF(LEN(G536)=0,"",VLOOKUP(G536,Issues!A:D,4,FALSE))</f>
        <v>Prueba OK</v>
      </c>
      <c r="K536" s="21" t="str">
        <f t="shared" si="26"/>
        <v>OK</v>
      </c>
    </row>
    <row r="537" spans="1:11" x14ac:dyDescent="0.35">
      <c r="A537" s="23">
        <v>46094</v>
      </c>
      <c r="B537" s="19" t="str">
        <f t="shared" si="25"/>
        <v>marzo</v>
      </c>
      <c r="C537" s="19" t="str">
        <f t="shared" si="27"/>
        <v>2026</v>
      </c>
      <c r="D537" s="25" t="s">
        <v>207</v>
      </c>
      <c r="E537" s="25" t="s">
        <v>25</v>
      </c>
      <c r="F537" s="25" t="s">
        <v>197</v>
      </c>
      <c r="G537" s="24">
        <v>200</v>
      </c>
      <c r="H537" s="19" t="str">
        <f>IF(LEN(G537)=0,"",VLOOKUP(G537,Issues!A:D,2,FALSE))</f>
        <v>(200) Contenidos</v>
      </c>
      <c r="I537" s="20" t="str">
        <f>IF(LEN(G537)=0,"",VLOOKUP(G537,Issues!A:D,3,FALSE))</f>
        <v>Contenidos recibido con éxito.</v>
      </c>
      <c r="J537" s="19" t="str">
        <f>IF(LEN(G537)=0,"",VLOOKUP(G537,Issues!A:D,4,FALSE))</f>
        <v>Prueba OK</v>
      </c>
      <c r="K537" s="21" t="str">
        <f t="shared" si="26"/>
        <v>OK</v>
      </c>
    </row>
    <row r="538" spans="1:11" x14ac:dyDescent="0.35">
      <c r="A538" s="23">
        <v>46157</v>
      </c>
      <c r="B538" s="19" t="str">
        <f t="shared" si="25"/>
        <v>mayo</v>
      </c>
      <c r="C538" s="19" t="str">
        <f t="shared" si="27"/>
        <v>2026</v>
      </c>
      <c r="D538" s="25" t="s">
        <v>207</v>
      </c>
      <c r="E538" s="25" t="s">
        <v>11</v>
      </c>
      <c r="F538" s="25" t="s">
        <v>166</v>
      </c>
      <c r="G538" s="24">
        <v>109</v>
      </c>
      <c r="H538" s="19" t="str">
        <f>IF(LEN(G538)=0,"",VLOOKUP(G538,Issues!A:D,2,FALSE))</f>
        <v>(100)  Alta</v>
      </c>
      <c r="I538" s="20" t="str">
        <f>IF(LEN(G538)=0,"",VLOOKUP(G538,Issues!A:D,3,FALSE))</f>
        <v>Fallas en estructura o diseño de la lp.</v>
      </c>
      <c r="J538" s="19" t="str">
        <f>IF(LEN(G538)=0,"",VLOOKUP(G538,Issues!A:D,4,FALSE))</f>
        <v>Medio</v>
      </c>
      <c r="K538" s="21" t="str">
        <f t="shared" si="26"/>
        <v>Issue</v>
      </c>
    </row>
    <row r="539" spans="1:11" x14ac:dyDescent="0.35">
      <c r="A539" s="23">
        <v>46044</v>
      </c>
      <c r="B539" s="19" t="str">
        <f t="shared" si="25"/>
        <v>enero</v>
      </c>
      <c r="C539" s="19" t="str">
        <f t="shared" si="27"/>
        <v>2026</v>
      </c>
      <c r="D539" s="25" t="s">
        <v>206</v>
      </c>
      <c r="E539" s="25" t="s">
        <v>25</v>
      </c>
      <c r="F539" s="25" t="s">
        <v>197</v>
      </c>
      <c r="G539" s="24">
        <v>400</v>
      </c>
      <c r="H539" s="19" t="str">
        <f>IF(LEN(G539)=0,"",VLOOKUP(G539,Issues!A:D,2,FALSE))</f>
        <v>(400) Portales / Web-App</v>
      </c>
      <c r="I539" s="20" t="str">
        <f>IF(LEN(G539)=0,"",VLOOKUP(G539,Issues!A:D,3,FALSE))</f>
        <v>Portal evaluado con éxito.</v>
      </c>
      <c r="J539" s="19" t="str">
        <f>IF(LEN(G539)=0,"",VLOOKUP(G539,Issues!A:D,4,FALSE))</f>
        <v>Prueba OK</v>
      </c>
      <c r="K539" s="21" t="str">
        <f t="shared" si="26"/>
        <v>OK</v>
      </c>
    </row>
    <row r="540" spans="1:11" x14ac:dyDescent="0.35">
      <c r="A540" s="23">
        <v>46157</v>
      </c>
      <c r="B540" s="19" t="str">
        <f t="shared" si="25"/>
        <v>mayo</v>
      </c>
      <c r="C540" s="19" t="str">
        <f t="shared" si="27"/>
        <v>2026</v>
      </c>
      <c r="D540" s="25" t="s">
        <v>207</v>
      </c>
      <c r="E540" s="25" t="s">
        <v>26</v>
      </c>
      <c r="F540" s="25" t="s">
        <v>160</v>
      </c>
      <c r="G540" s="24">
        <v>200</v>
      </c>
      <c r="H540" s="19" t="str">
        <f>IF(LEN(G540)=0,"",VLOOKUP(G540,Issues!A:D,2,FALSE))</f>
        <v>(200) Contenidos</v>
      </c>
      <c r="I540" s="20" t="str">
        <f>IF(LEN(G540)=0,"",VLOOKUP(G540,Issues!A:D,3,FALSE))</f>
        <v>Contenidos recibido con éxito.</v>
      </c>
      <c r="J540" s="19" t="str">
        <f>IF(LEN(G540)=0,"",VLOOKUP(G540,Issues!A:D,4,FALSE))</f>
        <v>Prueba OK</v>
      </c>
      <c r="K540" s="21" t="str">
        <f t="shared" si="26"/>
        <v>OK</v>
      </c>
    </row>
    <row r="541" spans="1:11" x14ac:dyDescent="0.35">
      <c r="A541" s="23">
        <v>46044</v>
      </c>
      <c r="B541" s="19" t="str">
        <f t="shared" si="25"/>
        <v>enero</v>
      </c>
      <c r="C541" s="19" t="str">
        <f t="shared" si="27"/>
        <v>2026</v>
      </c>
      <c r="D541" s="25" t="s">
        <v>207</v>
      </c>
      <c r="E541" s="25" t="s">
        <v>19</v>
      </c>
      <c r="F541" s="25" t="s">
        <v>186</v>
      </c>
      <c r="G541" s="24">
        <v>801</v>
      </c>
      <c r="H541" s="19" t="str">
        <f>IF(LEN(G541)=0,"",VLOOKUP(G541,Issues!A:D,2,FALSE))</f>
        <v>(800) Politicas especiales operadores</v>
      </c>
      <c r="I541" s="20" t="str">
        <f>IF(LEN(G541)=0,"",VLOOKUP(G541,Issues!A:D,3,FALSE))</f>
        <v>No da respuesta a kw regulatorio.</v>
      </c>
      <c r="J541" s="19" t="str">
        <f>IF(LEN(G541)=0,"",VLOOKUP(G541,Issues!A:D,4,FALSE))</f>
        <v>Critico</v>
      </c>
      <c r="K541" s="21" t="str">
        <f t="shared" si="26"/>
        <v>Issue</v>
      </c>
    </row>
    <row r="542" spans="1:11" x14ac:dyDescent="0.35">
      <c r="A542" s="23">
        <v>46027</v>
      </c>
      <c r="B542" s="19" t="str">
        <f t="shared" si="25"/>
        <v>enero</v>
      </c>
      <c r="C542" s="19" t="str">
        <f t="shared" si="27"/>
        <v>2026</v>
      </c>
      <c r="D542" s="25" t="s">
        <v>208</v>
      </c>
      <c r="E542" s="25" t="s">
        <v>20</v>
      </c>
      <c r="F542" s="25" t="s">
        <v>190</v>
      </c>
      <c r="G542" s="24">
        <v>504</v>
      </c>
      <c r="H542" s="19" t="str">
        <f>IF(LEN(G542)=0,"",VLOOKUP(G542,Issues!A:D,2,FALSE))</f>
        <v>(500) Baja / Cancelacion</v>
      </c>
      <c r="I542" s="20" t="str">
        <f>IF(LEN(G542)=0,"",VLOOKUP(G542,Issues!A:D,3,FALSE))</f>
        <v>No funciona la baja desde la lp.</v>
      </c>
      <c r="J542" s="19" t="str">
        <f>IF(LEN(G542)=0,"",VLOOKUP(G542,Issues!A:D,4,FALSE))</f>
        <v>Critico</v>
      </c>
      <c r="K542" s="21" t="str">
        <f t="shared" si="26"/>
        <v>Issue</v>
      </c>
    </row>
    <row r="543" spans="1:11" x14ac:dyDescent="0.35">
      <c r="A543" s="23">
        <v>46100</v>
      </c>
      <c r="B543" s="19" t="str">
        <f t="shared" si="25"/>
        <v>marzo</v>
      </c>
      <c r="C543" s="19" t="str">
        <f t="shared" si="27"/>
        <v>2026</v>
      </c>
      <c r="D543" s="25" t="s">
        <v>207</v>
      </c>
      <c r="E543" s="25" t="s">
        <v>27</v>
      </c>
      <c r="F543" s="25" t="s">
        <v>200</v>
      </c>
      <c r="G543" s="24">
        <v>200</v>
      </c>
      <c r="H543" s="19" t="str">
        <f>IF(LEN(G543)=0,"",VLOOKUP(G543,Issues!A:D,2,FALSE))</f>
        <v>(200) Contenidos</v>
      </c>
      <c r="I543" s="20" t="str">
        <f>IF(LEN(G543)=0,"",VLOOKUP(G543,Issues!A:D,3,FALSE))</f>
        <v>Contenidos recibido con éxito.</v>
      </c>
      <c r="J543" s="19" t="str">
        <f>IF(LEN(G543)=0,"",VLOOKUP(G543,Issues!A:D,4,FALSE))</f>
        <v>Prueba OK</v>
      </c>
      <c r="K543" s="21" t="str">
        <f t="shared" si="26"/>
        <v>OK</v>
      </c>
    </row>
    <row r="544" spans="1:11" x14ac:dyDescent="0.35">
      <c r="A544" s="23">
        <v>46104</v>
      </c>
      <c r="B544" s="19" t="str">
        <f t="shared" si="25"/>
        <v>marzo</v>
      </c>
      <c r="C544" s="19" t="str">
        <f t="shared" si="27"/>
        <v>2026</v>
      </c>
      <c r="D544" s="25" t="s">
        <v>206</v>
      </c>
      <c r="E544" s="25" t="s">
        <v>11</v>
      </c>
      <c r="F544" s="25" t="s">
        <v>165</v>
      </c>
      <c r="G544" s="24">
        <v>300</v>
      </c>
      <c r="H544" s="19" t="str">
        <f>IF(LEN(G544)=0,"",VLOOKUP(G544,Issues!A:D,2,FALSE))</f>
        <v>(300) Cobros</v>
      </c>
      <c r="I544" s="20" t="str">
        <f>IF(LEN(G544)=0,"",VLOOKUP(G544,Issues!A:D,3,FALSE))</f>
        <v>Cobro en valor y forma correcto.</v>
      </c>
      <c r="J544" s="19" t="str">
        <f>IF(LEN(G544)=0,"",VLOOKUP(G544,Issues!A:D,4,FALSE))</f>
        <v>Prueba OK</v>
      </c>
      <c r="K544" s="21" t="str">
        <f t="shared" si="26"/>
        <v>OK</v>
      </c>
    </row>
    <row r="545" spans="1:11" x14ac:dyDescent="0.35">
      <c r="A545" s="23">
        <v>46157</v>
      </c>
      <c r="B545" s="19" t="str">
        <f t="shared" si="25"/>
        <v>mayo</v>
      </c>
      <c r="C545" s="19" t="str">
        <f t="shared" si="27"/>
        <v>2026</v>
      </c>
      <c r="D545" s="25" t="s">
        <v>206</v>
      </c>
      <c r="E545" s="25" t="s">
        <v>21</v>
      </c>
      <c r="F545" s="25" t="s">
        <v>191</v>
      </c>
      <c r="G545" s="24">
        <v>503</v>
      </c>
      <c r="H545" s="19" t="str">
        <f>IF(LEN(G545)=0,"",VLOOKUP(G545,Issues!A:D,2,FALSE))</f>
        <v>(500) Baja / Cancelacion</v>
      </c>
      <c r="I545" s="20" t="str">
        <f>IF(LEN(G545)=0,"",VLOOKUP(G545,Issues!A:D,3,FALSE))</f>
        <v>Dio de baja en sms pero sigue activo en la plataforma.</v>
      </c>
      <c r="J545" s="19" t="str">
        <f>IF(LEN(G545)=0,"",VLOOKUP(G545,Issues!A:D,4,FALSE))</f>
        <v>Critico</v>
      </c>
      <c r="K545" s="21" t="str">
        <f t="shared" si="26"/>
        <v>Issue</v>
      </c>
    </row>
    <row r="546" spans="1:11" x14ac:dyDescent="0.35">
      <c r="A546" s="23">
        <v>46087</v>
      </c>
      <c r="B546" s="19" t="str">
        <f t="shared" si="25"/>
        <v>marzo</v>
      </c>
      <c r="C546" s="19" t="str">
        <f t="shared" si="27"/>
        <v>2026</v>
      </c>
      <c r="D546" s="25" t="s">
        <v>207</v>
      </c>
      <c r="E546" s="25" t="s">
        <v>14</v>
      </c>
      <c r="F546" s="25" t="s">
        <v>172</v>
      </c>
      <c r="G546" s="24">
        <v>502</v>
      </c>
      <c r="H546" s="19" t="str">
        <f>IF(LEN(G546)=0,"",VLOOKUP(G546,Issues!A:D,2,FALSE))</f>
        <v>(500) Baja / Cancelacion</v>
      </c>
      <c r="I546" s="20" t="str">
        <f>IF(LEN(G546)=0,"",VLOOKUP(G546,Issues!A:D,3,FALSE))</f>
        <v>No entrega el mt de baja.</v>
      </c>
      <c r="J546" s="19" t="str">
        <f>IF(LEN(G546)=0,"",VLOOKUP(G546,Issues!A:D,4,FALSE))</f>
        <v>Critico</v>
      </c>
      <c r="K546" s="21" t="str">
        <f t="shared" si="26"/>
        <v>Issue</v>
      </c>
    </row>
    <row r="547" spans="1:11" x14ac:dyDescent="0.35">
      <c r="A547" s="23">
        <v>46157</v>
      </c>
      <c r="B547" s="19" t="str">
        <f t="shared" si="25"/>
        <v>mayo</v>
      </c>
      <c r="C547" s="19" t="str">
        <f t="shared" si="27"/>
        <v>2026</v>
      </c>
      <c r="D547" s="25" t="s">
        <v>206</v>
      </c>
      <c r="E547" s="25" t="s">
        <v>20</v>
      </c>
      <c r="F547" s="25" t="s">
        <v>188</v>
      </c>
      <c r="G547" s="24">
        <v>800</v>
      </c>
      <c r="H547" s="19" t="str">
        <f>IF(LEN(G547)=0,"",VLOOKUP(G547,Issues!A:D,2,FALSE))</f>
        <v>(800) Politicas especiales operadores</v>
      </c>
      <c r="I547" s="20" t="str">
        <f>IF(LEN(G547)=0,"",VLOOKUP(G547,Issues!A:D,3,FALSE))</f>
        <v>Politicas de los operadores cumplidas.</v>
      </c>
      <c r="J547" s="19" t="str">
        <f>IF(LEN(G547)=0,"",VLOOKUP(G547,Issues!A:D,4,FALSE))</f>
        <v>Prueba OK</v>
      </c>
      <c r="K547" s="21" t="str">
        <f t="shared" si="26"/>
        <v>OK</v>
      </c>
    </row>
    <row r="548" spans="1:11" x14ac:dyDescent="0.35">
      <c r="A548" s="23">
        <v>46044</v>
      </c>
      <c r="B548" s="19" t="str">
        <f t="shared" si="25"/>
        <v>enero</v>
      </c>
      <c r="C548" s="19" t="str">
        <f t="shared" si="27"/>
        <v>2026</v>
      </c>
      <c r="D548" s="25" t="s">
        <v>207</v>
      </c>
      <c r="E548" s="25" t="s">
        <v>15</v>
      </c>
      <c r="F548" s="25" t="s">
        <v>174</v>
      </c>
      <c r="G548" s="24">
        <v>205</v>
      </c>
      <c r="H548" s="19" t="str">
        <f>IF(LEN(G548)=0,"",VLOOKUP(G548,Issues!A:D,2,FALSE))</f>
        <v>(200) Contenidos</v>
      </c>
      <c r="I548" s="20" t="str">
        <f>IF(LEN(G548)=0,"",VLOOKUP(G548,Issues!A:D,3,FALSE))</f>
        <v>Llego contenido de otro club.</v>
      </c>
      <c r="J548" s="19" t="str">
        <f>IF(LEN(G548)=0,"",VLOOKUP(G548,Issues!A:D,4,FALSE))</f>
        <v>Critico</v>
      </c>
      <c r="K548" s="21" t="str">
        <f t="shared" si="26"/>
        <v>Issue</v>
      </c>
    </row>
    <row r="549" spans="1:11" x14ac:dyDescent="0.35">
      <c r="A549" s="23">
        <v>46099</v>
      </c>
      <c r="B549" s="19" t="str">
        <f t="shared" si="25"/>
        <v>marzo</v>
      </c>
      <c r="C549" s="19" t="str">
        <f t="shared" si="27"/>
        <v>2026</v>
      </c>
      <c r="D549" s="25" t="s">
        <v>208</v>
      </c>
      <c r="E549" s="25" t="s">
        <v>19</v>
      </c>
      <c r="F549" s="25" t="s">
        <v>187</v>
      </c>
      <c r="G549" s="24">
        <v>200</v>
      </c>
      <c r="H549" s="19" t="str">
        <f>IF(LEN(G549)=0,"",VLOOKUP(G549,Issues!A:D,2,FALSE))</f>
        <v>(200) Contenidos</v>
      </c>
      <c r="I549" s="20" t="str">
        <f>IF(LEN(G549)=0,"",VLOOKUP(G549,Issues!A:D,3,FALSE))</f>
        <v>Contenidos recibido con éxito.</v>
      </c>
      <c r="J549" s="19" t="str">
        <f>IF(LEN(G549)=0,"",VLOOKUP(G549,Issues!A:D,4,FALSE))</f>
        <v>Prueba OK</v>
      </c>
      <c r="K549" s="21" t="str">
        <f t="shared" si="26"/>
        <v>OK</v>
      </c>
    </row>
    <row r="550" spans="1:11" x14ac:dyDescent="0.35">
      <c r="A550" s="23">
        <v>46100</v>
      </c>
      <c r="B550" s="19" t="str">
        <f t="shared" si="25"/>
        <v>marzo</v>
      </c>
      <c r="C550" s="19" t="str">
        <f t="shared" si="27"/>
        <v>2026</v>
      </c>
      <c r="D550" s="25" t="s">
        <v>207</v>
      </c>
      <c r="E550" s="25" t="s">
        <v>18</v>
      </c>
      <c r="F550" s="25" t="s">
        <v>184</v>
      </c>
      <c r="G550" s="24">
        <v>700</v>
      </c>
      <c r="H550" s="19" t="str">
        <f>IF(LEN(G550)=0,"",VLOOKUP(G550,Issues!A:D,2,FALSE))</f>
        <v>(700) Interaccion MO/MT (On Demand)</v>
      </c>
      <c r="I550" s="20" t="str">
        <f>IF(LEN(G550)=0,"",VLOOKUP(G550,Issues!A:D,3,FALSE))</f>
        <v>Flujo MO/MT con éxito.</v>
      </c>
      <c r="J550" s="19" t="str">
        <f>IF(LEN(G550)=0,"",VLOOKUP(G550,Issues!A:D,4,FALSE))</f>
        <v>Prueba OK</v>
      </c>
      <c r="K550" s="21" t="str">
        <f t="shared" si="26"/>
        <v>OK</v>
      </c>
    </row>
    <row r="551" spans="1:11" x14ac:dyDescent="0.35">
      <c r="A551" s="23">
        <v>46044</v>
      </c>
      <c r="B551" s="19" t="str">
        <f t="shared" si="25"/>
        <v>enero</v>
      </c>
      <c r="C551" s="19" t="str">
        <f t="shared" si="27"/>
        <v>2026</v>
      </c>
      <c r="D551" s="25" t="s">
        <v>208</v>
      </c>
      <c r="E551" s="25" t="s">
        <v>21</v>
      </c>
      <c r="F551" s="25" t="s">
        <v>193</v>
      </c>
      <c r="G551" s="24">
        <v>702</v>
      </c>
      <c r="H551" s="19" t="str">
        <f>IF(LEN(G551)=0,"",VLOOKUP(G551,Issues!A:D,2,FALSE))</f>
        <v>(700) Interaccion MO/MT (On Demand)</v>
      </c>
      <c r="I551" s="20" t="str">
        <f>IF(LEN(G551)=0,"",VLOOKUP(G551,Issues!A:D,3,FALSE))</f>
        <v>No se recibe mt.</v>
      </c>
      <c r="J551" s="19" t="str">
        <f>IF(LEN(G551)=0,"",VLOOKUP(G551,Issues!A:D,4,FALSE))</f>
        <v>Critico</v>
      </c>
      <c r="K551" s="21" t="str">
        <f t="shared" si="26"/>
        <v>Issue</v>
      </c>
    </row>
    <row r="552" spans="1:11" x14ac:dyDescent="0.35">
      <c r="A552" s="23">
        <v>46043</v>
      </c>
      <c r="B552" s="19" t="str">
        <f t="shared" si="25"/>
        <v>enero</v>
      </c>
      <c r="C552" s="19" t="str">
        <f t="shared" si="27"/>
        <v>2026</v>
      </c>
      <c r="D552" s="25" t="s">
        <v>207</v>
      </c>
      <c r="E552" s="25" t="s">
        <v>27</v>
      </c>
      <c r="F552" s="25" t="s">
        <v>200</v>
      </c>
      <c r="G552" s="24">
        <v>400</v>
      </c>
      <c r="H552" s="19" t="str">
        <f>IF(LEN(G552)=0,"",VLOOKUP(G552,Issues!A:D,2,FALSE))</f>
        <v>(400) Portales / Web-App</v>
      </c>
      <c r="I552" s="20" t="str">
        <f>IF(LEN(G552)=0,"",VLOOKUP(G552,Issues!A:D,3,FALSE))</f>
        <v>Portal evaluado con éxito.</v>
      </c>
      <c r="J552" s="19" t="str">
        <f>IF(LEN(G552)=0,"",VLOOKUP(G552,Issues!A:D,4,FALSE))</f>
        <v>Prueba OK</v>
      </c>
      <c r="K552" s="21" t="str">
        <f t="shared" si="26"/>
        <v>OK</v>
      </c>
    </row>
    <row r="553" spans="1:11" x14ac:dyDescent="0.35">
      <c r="A553" s="23">
        <v>46045</v>
      </c>
      <c r="B553" s="19" t="str">
        <f t="shared" si="25"/>
        <v>enero</v>
      </c>
      <c r="C553" s="19" t="str">
        <f t="shared" si="27"/>
        <v>2026</v>
      </c>
      <c r="D553" s="25" t="s">
        <v>207</v>
      </c>
      <c r="E553" s="25" t="s">
        <v>25</v>
      </c>
      <c r="F553" s="25" t="s">
        <v>198</v>
      </c>
      <c r="G553" s="24">
        <v>105</v>
      </c>
      <c r="H553" s="19" t="str">
        <f>IF(LEN(G553)=0,"",VLOOKUP(G553,Issues!A:D,2,FALSE))</f>
        <v>(100)  Alta</v>
      </c>
      <c r="I553" s="20" t="str">
        <f>IF(LEN(G553)=0,"",VLOOKUP(G553,Issues!A:D,3,FALSE))</f>
        <v>Inconsistencia en el pin code.</v>
      </c>
      <c r="J553" s="19" t="str">
        <f>IF(LEN(G553)=0,"",VLOOKUP(G553,Issues!A:D,4,FALSE))</f>
        <v>Medio</v>
      </c>
      <c r="K553" s="21" t="str">
        <f t="shared" si="26"/>
        <v>Issue</v>
      </c>
    </row>
    <row r="554" spans="1:11" x14ac:dyDescent="0.35">
      <c r="A554" s="23">
        <v>46075</v>
      </c>
      <c r="B554" s="19" t="str">
        <f t="shared" si="25"/>
        <v>febrero</v>
      </c>
      <c r="C554" s="19" t="str">
        <f t="shared" si="27"/>
        <v>2026</v>
      </c>
      <c r="D554" s="25" t="s">
        <v>207</v>
      </c>
      <c r="E554" s="25" t="s">
        <v>24</v>
      </c>
      <c r="F554" s="25" t="s">
        <v>151</v>
      </c>
      <c r="G554" s="24">
        <v>700</v>
      </c>
      <c r="H554" s="19" t="str">
        <f>IF(LEN(G554)=0,"",VLOOKUP(G554,Issues!A:D,2,FALSE))</f>
        <v>(700) Interaccion MO/MT (On Demand)</v>
      </c>
      <c r="I554" s="20" t="str">
        <f>IF(LEN(G554)=0,"",VLOOKUP(G554,Issues!A:D,3,FALSE))</f>
        <v>Flujo MO/MT con éxito.</v>
      </c>
      <c r="J554" s="19" t="str">
        <f>IF(LEN(G554)=0,"",VLOOKUP(G554,Issues!A:D,4,FALSE))</f>
        <v>Prueba OK</v>
      </c>
      <c r="K554" s="21" t="str">
        <f t="shared" si="26"/>
        <v>OK</v>
      </c>
    </row>
    <row r="555" spans="1:11" x14ac:dyDescent="0.35">
      <c r="A555" s="23">
        <v>46095</v>
      </c>
      <c r="B555" s="19" t="str">
        <f t="shared" si="25"/>
        <v>marzo</v>
      </c>
      <c r="C555" s="19" t="str">
        <f t="shared" si="27"/>
        <v>2026</v>
      </c>
      <c r="D555" s="25" t="s">
        <v>206</v>
      </c>
      <c r="E555" s="25" t="s">
        <v>15</v>
      </c>
      <c r="F555" s="25" t="s">
        <v>175</v>
      </c>
      <c r="G555" s="24">
        <v>112</v>
      </c>
      <c r="H555" s="19" t="str">
        <f>IF(LEN(G555)=0,"",VLOOKUP(G555,Issues!A:D,2,FALSE))</f>
        <v>(100)  Alta</v>
      </c>
      <c r="I555" s="20" t="str">
        <f>IF(LEN(G555)=0,"",VLOOKUP(G555,Issues!A:D,3,FALSE))</f>
        <v>Falla en alta a traves de tienda.</v>
      </c>
      <c r="J555" s="19" t="str">
        <f>IF(LEN(G555)=0,"",VLOOKUP(G555,Issues!A:D,4,FALSE))</f>
        <v>Critico</v>
      </c>
      <c r="K555" s="21" t="str">
        <f t="shared" si="26"/>
        <v>Issue</v>
      </c>
    </row>
    <row r="556" spans="1:11" x14ac:dyDescent="0.35">
      <c r="A556" s="23">
        <v>46091</v>
      </c>
      <c r="B556" s="19" t="str">
        <f t="shared" si="25"/>
        <v>marzo</v>
      </c>
      <c r="C556" s="19" t="str">
        <f t="shared" si="27"/>
        <v>2026</v>
      </c>
      <c r="D556" s="25" t="s">
        <v>206</v>
      </c>
      <c r="E556" s="25" t="s">
        <v>25</v>
      </c>
      <c r="F556" s="25" t="s">
        <v>199</v>
      </c>
      <c r="G556" s="24">
        <v>500</v>
      </c>
      <c r="H556" s="19" t="str">
        <f>IF(LEN(G556)=0,"",VLOOKUP(G556,Issues!A:D,2,FALSE))</f>
        <v>(500) Baja / Cancelacion</v>
      </c>
      <c r="I556" s="20" t="str">
        <f>IF(LEN(G556)=0,"",VLOOKUP(G556,Issues!A:D,3,FALSE))</f>
        <v>Baja con éxito.</v>
      </c>
      <c r="J556" s="19" t="str">
        <f>IF(LEN(G556)=0,"",VLOOKUP(G556,Issues!A:D,4,FALSE))</f>
        <v>Prueba OK</v>
      </c>
      <c r="K556" s="21" t="str">
        <f t="shared" si="26"/>
        <v>OK</v>
      </c>
    </row>
    <row r="557" spans="1:11" x14ac:dyDescent="0.35">
      <c r="A557" s="23">
        <v>46097</v>
      </c>
      <c r="B557" s="19" t="str">
        <f t="shared" si="25"/>
        <v>marzo</v>
      </c>
      <c r="C557" s="19" t="str">
        <f t="shared" si="27"/>
        <v>2026</v>
      </c>
      <c r="D557" s="25" t="s">
        <v>206</v>
      </c>
      <c r="E557" s="25" t="s">
        <v>13</v>
      </c>
      <c r="F557" s="25" t="s">
        <v>149</v>
      </c>
      <c r="G557" s="24">
        <v>108</v>
      </c>
      <c r="H557" s="19" t="str">
        <f>IF(LEN(G557)=0,"",VLOOKUP(G557,Issues!A:D,2,FALSE))</f>
        <v>(100)  Alta</v>
      </c>
      <c r="I557" s="20" t="str">
        <f>IF(LEN(G557)=0,"",VLOOKUP(G557,Issues!A:D,3,FALSE))</f>
        <v>Inconsistencias en t&amp;c en la lp.</v>
      </c>
      <c r="J557" s="19" t="str">
        <f>IF(LEN(G557)=0,"",VLOOKUP(G557,Issues!A:D,4,FALSE))</f>
        <v>Critico</v>
      </c>
      <c r="K557" s="21" t="str">
        <f t="shared" si="26"/>
        <v>Issue</v>
      </c>
    </row>
    <row r="558" spans="1:11" x14ac:dyDescent="0.35">
      <c r="A558" s="23">
        <v>46116</v>
      </c>
      <c r="B558" s="19" t="str">
        <f t="shared" si="25"/>
        <v>abril</v>
      </c>
      <c r="C558" s="19" t="str">
        <f t="shared" si="27"/>
        <v>2026</v>
      </c>
      <c r="D558" s="25" t="s">
        <v>207</v>
      </c>
      <c r="E558" s="25" t="s">
        <v>23</v>
      </c>
      <c r="F558" s="25" t="s">
        <v>195</v>
      </c>
      <c r="G558" s="24">
        <v>501</v>
      </c>
      <c r="H558" s="19" t="str">
        <f>IF(LEN(G558)=0,"",VLOOKUP(G558,Issues!A:D,2,FALSE))</f>
        <v>(500) Baja / Cancelacion</v>
      </c>
      <c r="I558" s="20" t="str">
        <f>IF(LEN(G558)=0,"",VLOOKUP(G558,Issues!A:D,3,FALSE))</f>
        <v>No funciona el comando de baja.</v>
      </c>
      <c r="J558" s="19" t="str">
        <f>IF(LEN(G558)=0,"",VLOOKUP(G558,Issues!A:D,4,FALSE))</f>
        <v>Critico</v>
      </c>
      <c r="K558" s="21" t="str">
        <f t="shared" si="26"/>
        <v>Issue</v>
      </c>
    </row>
    <row r="559" spans="1:11" x14ac:dyDescent="0.35">
      <c r="A559" s="23">
        <v>46151</v>
      </c>
      <c r="B559" s="19" t="str">
        <f t="shared" si="25"/>
        <v>mayo</v>
      </c>
      <c r="C559" s="19" t="str">
        <f t="shared" si="27"/>
        <v>2026</v>
      </c>
      <c r="D559" s="25" t="s">
        <v>207</v>
      </c>
      <c r="E559" s="25" t="s">
        <v>17</v>
      </c>
      <c r="F559" s="25" t="s">
        <v>179</v>
      </c>
      <c r="G559" s="24">
        <v>304</v>
      </c>
      <c r="H559" s="19" t="str">
        <f>IF(LEN(G559)=0,"",VLOOKUP(G559,Issues!A:D,2,FALSE))</f>
        <v>(300) Cobros</v>
      </c>
      <c r="I559" s="20" t="str">
        <f>IF(LEN(G559)=0,"",VLOOKUP(G559,Issues!A:D,3,FALSE))</f>
        <v>Cobro valor diferente al autorizado.</v>
      </c>
      <c r="J559" s="19" t="str">
        <f>IF(LEN(G559)=0,"",VLOOKUP(G559,Issues!A:D,4,FALSE))</f>
        <v>Critico</v>
      </c>
      <c r="K559" s="21" t="str">
        <f t="shared" si="26"/>
        <v>Issue</v>
      </c>
    </row>
    <row r="560" spans="1:11" x14ac:dyDescent="0.35">
      <c r="A560" s="23">
        <v>46125</v>
      </c>
      <c r="B560" s="19" t="str">
        <f t="shared" si="25"/>
        <v>abril</v>
      </c>
      <c r="C560" s="19" t="str">
        <f t="shared" si="27"/>
        <v>2026</v>
      </c>
      <c r="D560" s="25" t="s">
        <v>206</v>
      </c>
      <c r="E560" s="25" t="s">
        <v>13</v>
      </c>
      <c r="F560" s="25" t="s">
        <v>157</v>
      </c>
      <c r="G560" s="24">
        <v>100</v>
      </c>
      <c r="H560" s="19" t="str">
        <f>IF(LEN(G560)=0,"",VLOOKUP(G560,Issues!A:D,2,FALSE))</f>
        <v>(100)  Alta</v>
      </c>
      <c r="I560" s="20" t="str">
        <f>IF(LEN(G560)=0,"",VLOOKUP(G560,Issues!A:D,3,FALSE))</f>
        <v>Alta con éxito.</v>
      </c>
      <c r="J560" s="19" t="str">
        <f>IF(LEN(G560)=0,"",VLOOKUP(G560,Issues!A:D,4,FALSE))</f>
        <v>Prueba OK</v>
      </c>
      <c r="K560" s="21" t="str">
        <f t="shared" si="26"/>
        <v>OK</v>
      </c>
    </row>
    <row r="561" spans="1:11" x14ac:dyDescent="0.35">
      <c r="A561" s="23">
        <v>46122</v>
      </c>
      <c r="B561" s="19" t="str">
        <f t="shared" si="25"/>
        <v>abril</v>
      </c>
      <c r="C561" s="19" t="str">
        <f t="shared" si="27"/>
        <v>2026</v>
      </c>
      <c r="D561" s="25" t="s">
        <v>206</v>
      </c>
      <c r="E561" s="25" t="s">
        <v>10</v>
      </c>
      <c r="F561" s="25" t="s">
        <v>162</v>
      </c>
      <c r="G561" s="24">
        <v>400</v>
      </c>
      <c r="H561" s="19" t="str">
        <f>IF(LEN(G561)=0,"",VLOOKUP(G561,Issues!A:D,2,FALSE))</f>
        <v>(400) Portales / Web-App</v>
      </c>
      <c r="I561" s="20" t="str">
        <f>IF(LEN(G561)=0,"",VLOOKUP(G561,Issues!A:D,3,FALSE))</f>
        <v>Portal evaluado con éxito.</v>
      </c>
      <c r="J561" s="19" t="str">
        <f>IF(LEN(G561)=0,"",VLOOKUP(G561,Issues!A:D,4,FALSE))</f>
        <v>Prueba OK</v>
      </c>
      <c r="K561" s="21" t="str">
        <f t="shared" si="26"/>
        <v>OK</v>
      </c>
    </row>
    <row r="562" spans="1:11" x14ac:dyDescent="0.35">
      <c r="A562" s="23">
        <v>46036</v>
      </c>
      <c r="B562" s="19" t="str">
        <f t="shared" si="25"/>
        <v>enero</v>
      </c>
      <c r="C562" s="19" t="str">
        <f t="shared" si="27"/>
        <v>2026</v>
      </c>
      <c r="D562" s="25" t="s">
        <v>206</v>
      </c>
      <c r="E562" s="25" t="s">
        <v>18</v>
      </c>
      <c r="F562" s="25" t="s">
        <v>182</v>
      </c>
      <c r="G562" s="24">
        <v>200</v>
      </c>
      <c r="H562" s="19" t="str">
        <f>IF(LEN(G562)=0,"",VLOOKUP(G562,Issues!A:D,2,FALSE))</f>
        <v>(200) Contenidos</v>
      </c>
      <c r="I562" s="20" t="str">
        <f>IF(LEN(G562)=0,"",VLOOKUP(G562,Issues!A:D,3,FALSE))</f>
        <v>Contenidos recibido con éxito.</v>
      </c>
      <c r="J562" s="19" t="str">
        <f>IF(LEN(G562)=0,"",VLOOKUP(G562,Issues!A:D,4,FALSE))</f>
        <v>Prueba OK</v>
      </c>
      <c r="K562" s="21" t="str">
        <f t="shared" si="26"/>
        <v>OK</v>
      </c>
    </row>
    <row r="563" spans="1:11" x14ac:dyDescent="0.35">
      <c r="A563" s="23">
        <v>46041</v>
      </c>
      <c r="B563" s="19" t="str">
        <f t="shared" si="25"/>
        <v>enero</v>
      </c>
      <c r="C563" s="19" t="str">
        <f t="shared" si="27"/>
        <v>2026</v>
      </c>
      <c r="D563" s="25" t="s">
        <v>207</v>
      </c>
      <c r="E563" s="25" t="s">
        <v>23</v>
      </c>
      <c r="F563" s="25" t="s">
        <v>195</v>
      </c>
      <c r="G563" s="24">
        <v>100</v>
      </c>
      <c r="H563" s="19" t="str">
        <f>IF(LEN(G563)=0,"",VLOOKUP(G563,Issues!A:D,2,FALSE))</f>
        <v>(100)  Alta</v>
      </c>
      <c r="I563" s="20" t="str">
        <f>IF(LEN(G563)=0,"",VLOOKUP(G563,Issues!A:D,3,FALSE))</f>
        <v>Alta con éxito.</v>
      </c>
      <c r="J563" s="19" t="str">
        <f>IF(LEN(G563)=0,"",VLOOKUP(G563,Issues!A:D,4,FALSE))</f>
        <v>Prueba OK</v>
      </c>
      <c r="K563" s="21" t="str">
        <f t="shared" si="26"/>
        <v>OK</v>
      </c>
    </row>
    <row r="564" spans="1:11" x14ac:dyDescent="0.35">
      <c r="A564" s="23">
        <v>46153</v>
      </c>
      <c r="B564" s="19" t="str">
        <f t="shared" si="25"/>
        <v>mayo</v>
      </c>
      <c r="C564" s="19" t="str">
        <f t="shared" si="27"/>
        <v>2026</v>
      </c>
      <c r="D564" s="25" t="s">
        <v>206</v>
      </c>
      <c r="E564" s="25" t="s">
        <v>12</v>
      </c>
      <c r="F564" s="25" t="s">
        <v>168</v>
      </c>
      <c r="G564" s="24">
        <v>703</v>
      </c>
      <c r="H564" s="19" t="str">
        <f>IF(LEN(G564)=0,"",VLOOKUP(G564,Issues!A:D,2,FALSE))</f>
        <v>(700) Interaccion MO/MT (On Demand)</v>
      </c>
      <c r="I564" s="20" t="str">
        <f>IF(LEN(G564)=0,"",VLOOKUP(G564,Issues!A:D,3,FALSE))</f>
        <v>Fallas en la interaccion mo/mt.</v>
      </c>
      <c r="J564" s="19" t="str">
        <f>IF(LEN(G564)=0,"",VLOOKUP(G564,Issues!A:D,4,FALSE))</f>
        <v>Critico</v>
      </c>
      <c r="K564" s="21" t="str">
        <f t="shared" si="26"/>
        <v>Issue</v>
      </c>
    </row>
    <row r="565" spans="1:11" x14ac:dyDescent="0.35">
      <c r="A565" s="23">
        <v>46142</v>
      </c>
      <c r="B565" s="19" t="str">
        <f t="shared" si="25"/>
        <v>abril</v>
      </c>
      <c r="C565" s="19" t="str">
        <f t="shared" si="27"/>
        <v>2026</v>
      </c>
      <c r="D565" s="25" t="s">
        <v>209</v>
      </c>
      <c r="E565" s="25" t="s">
        <v>15</v>
      </c>
      <c r="F565" s="25" t="s">
        <v>175</v>
      </c>
      <c r="G565" s="24">
        <v>400</v>
      </c>
      <c r="H565" s="19" t="str">
        <f>IF(LEN(G565)=0,"",VLOOKUP(G565,Issues!A:D,2,FALSE))</f>
        <v>(400) Portales / Web-App</v>
      </c>
      <c r="I565" s="20" t="str">
        <f>IF(LEN(G565)=0,"",VLOOKUP(G565,Issues!A:D,3,FALSE))</f>
        <v>Portal evaluado con éxito.</v>
      </c>
      <c r="J565" s="19" t="str">
        <f>IF(LEN(G565)=0,"",VLOOKUP(G565,Issues!A:D,4,FALSE))</f>
        <v>Prueba OK</v>
      </c>
      <c r="K565" s="21" t="str">
        <f t="shared" si="26"/>
        <v>OK</v>
      </c>
    </row>
    <row r="566" spans="1:11" x14ac:dyDescent="0.35">
      <c r="A566" s="23">
        <v>46076</v>
      </c>
      <c r="B566" s="19" t="str">
        <f t="shared" si="25"/>
        <v>febrero</v>
      </c>
      <c r="C566" s="19" t="str">
        <f t="shared" si="27"/>
        <v>2026</v>
      </c>
      <c r="D566" s="25" t="s">
        <v>208</v>
      </c>
      <c r="E566" s="25" t="s">
        <v>13</v>
      </c>
      <c r="F566" s="25" t="s">
        <v>153</v>
      </c>
      <c r="G566" s="24">
        <v>705</v>
      </c>
      <c r="H566" s="19" t="str">
        <f>IF(LEN(G566)=0,"",VLOOKUP(G566,Issues!A:D,2,FALSE))</f>
        <v>(700) Interaccion MO/MT (On Demand)</v>
      </c>
      <c r="I566" s="20" t="str">
        <f>IF(LEN(G566)=0,"",VLOOKUP(G566,Issues!A:D,3,FALSE))</f>
        <v>No funcionan los kw´s especiales (info, puntaje, ayuda, etc).</v>
      </c>
      <c r="J566" s="19" t="str">
        <f>IF(LEN(G566)=0,"",VLOOKUP(G566,Issues!A:D,4,FALSE))</f>
        <v>Medio</v>
      </c>
      <c r="K566" s="21" t="str">
        <f t="shared" si="26"/>
        <v>Issue</v>
      </c>
    </row>
    <row r="567" spans="1:11" x14ac:dyDescent="0.35">
      <c r="A567" s="23">
        <v>46104</v>
      </c>
      <c r="B567" s="19" t="str">
        <f t="shared" si="25"/>
        <v>marzo</v>
      </c>
      <c r="C567" s="19" t="str">
        <f t="shared" si="27"/>
        <v>2026</v>
      </c>
      <c r="D567" s="25" t="s">
        <v>207</v>
      </c>
      <c r="E567" s="25" t="s">
        <v>19</v>
      </c>
      <c r="F567" s="25" t="s">
        <v>186</v>
      </c>
      <c r="G567" s="24">
        <v>300</v>
      </c>
      <c r="H567" s="19" t="str">
        <f>IF(LEN(G567)=0,"",VLOOKUP(G567,Issues!A:D,2,FALSE))</f>
        <v>(300) Cobros</v>
      </c>
      <c r="I567" s="20" t="str">
        <f>IF(LEN(G567)=0,"",VLOOKUP(G567,Issues!A:D,3,FALSE))</f>
        <v>Cobro en valor y forma correcto.</v>
      </c>
      <c r="J567" s="19" t="str">
        <f>IF(LEN(G567)=0,"",VLOOKUP(G567,Issues!A:D,4,FALSE))</f>
        <v>Prueba OK</v>
      </c>
      <c r="K567" s="21" t="str">
        <f t="shared" si="26"/>
        <v>OK</v>
      </c>
    </row>
    <row r="568" spans="1:11" x14ac:dyDescent="0.35">
      <c r="A568" s="23">
        <v>46101</v>
      </c>
      <c r="B568" s="19" t="str">
        <f t="shared" si="25"/>
        <v>marzo</v>
      </c>
      <c r="C568" s="19" t="str">
        <f t="shared" si="27"/>
        <v>2026</v>
      </c>
      <c r="D568" s="25" t="s">
        <v>206</v>
      </c>
      <c r="E568" s="25" t="s">
        <v>24</v>
      </c>
      <c r="F568" s="25" t="s">
        <v>155</v>
      </c>
      <c r="G568" s="24">
        <v>800</v>
      </c>
      <c r="H568" s="19" t="str">
        <f>IF(LEN(G568)=0,"",VLOOKUP(G568,Issues!A:D,2,FALSE))</f>
        <v>(800) Politicas especiales operadores</v>
      </c>
      <c r="I568" s="20" t="str">
        <f>IF(LEN(G568)=0,"",VLOOKUP(G568,Issues!A:D,3,FALSE))</f>
        <v>Politicas de los operadores cumplidas.</v>
      </c>
      <c r="J568" s="19" t="str">
        <f>IF(LEN(G568)=0,"",VLOOKUP(G568,Issues!A:D,4,FALSE))</f>
        <v>Prueba OK</v>
      </c>
      <c r="K568" s="21" t="str">
        <f t="shared" si="26"/>
        <v>OK</v>
      </c>
    </row>
    <row r="569" spans="1:11" x14ac:dyDescent="0.35">
      <c r="A569" s="23">
        <v>46054</v>
      </c>
      <c r="B569" s="19" t="str">
        <f t="shared" si="25"/>
        <v>febrero</v>
      </c>
      <c r="C569" s="19" t="str">
        <f t="shared" si="27"/>
        <v>2026</v>
      </c>
      <c r="D569" s="25" t="s">
        <v>207</v>
      </c>
      <c r="E569" s="25" t="s">
        <v>23</v>
      </c>
      <c r="F569" s="25" t="s">
        <v>196</v>
      </c>
      <c r="G569" s="24">
        <v>109</v>
      </c>
      <c r="H569" s="19" t="str">
        <f>IF(LEN(G569)=0,"",VLOOKUP(G569,Issues!A:D,2,FALSE))</f>
        <v>(100)  Alta</v>
      </c>
      <c r="I569" s="20" t="str">
        <f>IF(LEN(G569)=0,"",VLOOKUP(G569,Issues!A:D,3,FALSE))</f>
        <v>Fallas en estructura o diseño de la lp.</v>
      </c>
      <c r="J569" s="19" t="str">
        <f>IF(LEN(G569)=0,"",VLOOKUP(G569,Issues!A:D,4,FALSE))</f>
        <v>Medio</v>
      </c>
      <c r="K569" s="21" t="str">
        <f t="shared" si="26"/>
        <v>Issue</v>
      </c>
    </row>
    <row r="570" spans="1:11" x14ac:dyDescent="0.35">
      <c r="A570" s="23">
        <v>46055</v>
      </c>
      <c r="B570" s="19" t="str">
        <f t="shared" si="25"/>
        <v>febrero</v>
      </c>
      <c r="C570" s="19" t="str">
        <f t="shared" si="27"/>
        <v>2026</v>
      </c>
      <c r="D570" s="25" t="s">
        <v>206</v>
      </c>
      <c r="E570" s="25" t="s">
        <v>27</v>
      </c>
      <c r="F570" s="25" t="s">
        <v>200</v>
      </c>
      <c r="G570" s="24">
        <v>505</v>
      </c>
      <c r="H570" s="19" t="str">
        <f>IF(LEN(G570)=0,"",VLOOKUP(G570,Issues!A:D,2,FALSE))</f>
        <v>(500) Baja / Cancelacion</v>
      </c>
      <c r="I570" s="20" t="str">
        <f>IF(LEN(G570)=0,"",VLOOKUP(G570,Issues!A:D,3,FALSE))</f>
        <v>No funciona la baja desde tienda.</v>
      </c>
      <c r="J570" s="19" t="str">
        <f>IF(LEN(G570)=0,"",VLOOKUP(G570,Issues!A:D,4,FALSE))</f>
        <v>Critico</v>
      </c>
      <c r="K570" s="21" t="str">
        <f t="shared" si="26"/>
        <v>Issue</v>
      </c>
    </row>
    <row r="571" spans="1:11" x14ac:dyDescent="0.35">
      <c r="A571" s="23">
        <v>46093</v>
      </c>
      <c r="B571" s="19" t="str">
        <f t="shared" si="25"/>
        <v>marzo</v>
      </c>
      <c r="C571" s="19" t="str">
        <f t="shared" si="27"/>
        <v>2026</v>
      </c>
      <c r="D571" s="25" t="s">
        <v>206</v>
      </c>
      <c r="E571" s="25" t="s">
        <v>16</v>
      </c>
      <c r="F571" s="25" t="s">
        <v>177</v>
      </c>
      <c r="G571" s="24">
        <v>700</v>
      </c>
      <c r="H571" s="19" t="str">
        <f>IF(LEN(G571)=0,"",VLOOKUP(G571,Issues!A:D,2,FALSE))</f>
        <v>(700) Interaccion MO/MT (On Demand)</v>
      </c>
      <c r="I571" s="20" t="str">
        <f>IF(LEN(G571)=0,"",VLOOKUP(G571,Issues!A:D,3,FALSE))</f>
        <v>Flujo MO/MT con éxito.</v>
      </c>
      <c r="J571" s="19" t="str">
        <f>IF(LEN(G571)=0,"",VLOOKUP(G571,Issues!A:D,4,FALSE))</f>
        <v>Prueba OK</v>
      </c>
      <c r="K571" s="21" t="str">
        <f t="shared" si="26"/>
        <v>OK</v>
      </c>
    </row>
    <row r="572" spans="1:11" x14ac:dyDescent="0.35">
      <c r="A572" s="23">
        <v>46125</v>
      </c>
      <c r="B572" s="19" t="str">
        <f t="shared" si="25"/>
        <v>abril</v>
      </c>
      <c r="C572" s="19" t="str">
        <f t="shared" si="27"/>
        <v>2026</v>
      </c>
      <c r="D572" s="25" t="s">
        <v>206</v>
      </c>
      <c r="E572" s="25" t="s">
        <v>12</v>
      </c>
      <c r="F572" s="25" t="s">
        <v>168</v>
      </c>
      <c r="G572" s="24">
        <v>300</v>
      </c>
      <c r="H572" s="19" t="str">
        <f>IF(LEN(G572)=0,"",VLOOKUP(G572,Issues!A:D,2,FALSE))</f>
        <v>(300) Cobros</v>
      </c>
      <c r="I572" s="20" t="str">
        <f>IF(LEN(G572)=0,"",VLOOKUP(G572,Issues!A:D,3,FALSE))</f>
        <v>Cobro en valor y forma correcto.</v>
      </c>
      <c r="J572" s="19" t="str">
        <f>IF(LEN(G572)=0,"",VLOOKUP(G572,Issues!A:D,4,FALSE))</f>
        <v>Prueba OK</v>
      </c>
      <c r="K572" s="21" t="str">
        <f t="shared" si="26"/>
        <v>OK</v>
      </c>
    </row>
    <row r="573" spans="1:11" x14ac:dyDescent="0.35">
      <c r="A573" s="23">
        <v>46065</v>
      </c>
      <c r="B573" s="19" t="str">
        <f t="shared" si="25"/>
        <v>febrero</v>
      </c>
      <c r="C573" s="19" t="str">
        <f t="shared" si="27"/>
        <v>2026</v>
      </c>
      <c r="D573" s="25" t="s">
        <v>206</v>
      </c>
      <c r="E573" s="25" t="s">
        <v>12</v>
      </c>
      <c r="F573" s="25" t="s">
        <v>167</v>
      </c>
      <c r="G573" s="24">
        <v>204</v>
      </c>
      <c r="H573" s="19" t="str">
        <f>IF(LEN(G573)=0,"",VLOOKUP(G573,Issues!A:D,2,FALSE))</f>
        <v>(200) Contenidos</v>
      </c>
      <c r="I573" s="20" t="str">
        <f>IF(LEN(G573)=0,"",VLOOKUP(G573,Issues!A:D,3,FALSE))</f>
        <v>Error/inconsistencia en t&amp;c en sms.</v>
      </c>
      <c r="J573" s="19" t="str">
        <f>IF(LEN(G573)=0,"",VLOOKUP(G573,Issues!A:D,4,FALSE))</f>
        <v>Critico</v>
      </c>
      <c r="K573" s="21" t="str">
        <f t="shared" si="26"/>
        <v>Issue</v>
      </c>
    </row>
    <row r="574" spans="1:11" x14ac:dyDescent="0.35">
      <c r="A574" s="23">
        <v>46088</v>
      </c>
      <c r="B574" s="19" t="str">
        <f t="shared" si="25"/>
        <v>marzo</v>
      </c>
      <c r="C574" s="19" t="str">
        <f t="shared" si="27"/>
        <v>2026</v>
      </c>
      <c r="D574" s="25" t="s">
        <v>207</v>
      </c>
      <c r="E574" s="25" t="s">
        <v>24</v>
      </c>
      <c r="F574" s="25" t="s">
        <v>159</v>
      </c>
      <c r="G574" s="24">
        <v>300</v>
      </c>
      <c r="H574" s="19" t="str">
        <f>IF(LEN(G574)=0,"",VLOOKUP(G574,Issues!A:D,2,FALSE))</f>
        <v>(300) Cobros</v>
      </c>
      <c r="I574" s="20" t="str">
        <f>IF(LEN(G574)=0,"",VLOOKUP(G574,Issues!A:D,3,FALSE))</f>
        <v>Cobro en valor y forma correcto.</v>
      </c>
      <c r="J574" s="19" t="str">
        <f>IF(LEN(G574)=0,"",VLOOKUP(G574,Issues!A:D,4,FALSE))</f>
        <v>Prueba OK</v>
      </c>
      <c r="K574" s="21" t="str">
        <f t="shared" si="26"/>
        <v>OK</v>
      </c>
    </row>
    <row r="575" spans="1:11" x14ac:dyDescent="0.35">
      <c r="A575" s="23">
        <v>46045</v>
      </c>
      <c r="B575" s="19" t="str">
        <f t="shared" si="25"/>
        <v>enero</v>
      </c>
      <c r="C575" s="19" t="str">
        <f t="shared" si="27"/>
        <v>2026</v>
      </c>
      <c r="D575" s="25" t="s">
        <v>207</v>
      </c>
      <c r="E575" s="25" t="s">
        <v>25</v>
      </c>
      <c r="F575" s="25" t="s">
        <v>199</v>
      </c>
      <c r="G575" s="24">
        <v>700</v>
      </c>
      <c r="H575" s="19" t="str">
        <f>IF(LEN(G575)=0,"",VLOOKUP(G575,Issues!A:D,2,FALSE))</f>
        <v>(700) Interaccion MO/MT (On Demand)</v>
      </c>
      <c r="I575" s="20" t="str">
        <f>IF(LEN(G575)=0,"",VLOOKUP(G575,Issues!A:D,3,FALSE))</f>
        <v>Flujo MO/MT con éxito.</v>
      </c>
      <c r="J575" s="19" t="str">
        <f>IF(LEN(G575)=0,"",VLOOKUP(G575,Issues!A:D,4,FALSE))</f>
        <v>Prueba OK</v>
      </c>
      <c r="K575" s="21" t="str">
        <f t="shared" si="26"/>
        <v>OK</v>
      </c>
    </row>
    <row r="576" spans="1:11" x14ac:dyDescent="0.35">
      <c r="A576" s="23">
        <v>46057</v>
      </c>
      <c r="B576" s="19" t="str">
        <f t="shared" si="25"/>
        <v>febrero</v>
      </c>
      <c r="C576" s="19" t="str">
        <f t="shared" si="27"/>
        <v>2026</v>
      </c>
      <c r="D576" s="25" t="s">
        <v>207</v>
      </c>
      <c r="E576" s="25" t="s">
        <v>24</v>
      </c>
      <c r="F576" s="25" t="s">
        <v>155</v>
      </c>
      <c r="G576" s="24">
        <v>305</v>
      </c>
      <c r="H576" s="19" t="str">
        <f>IF(LEN(G576)=0,"",VLOOKUP(G576,Issues!A:D,2,FALSE))</f>
        <v>(300) Cobros</v>
      </c>
      <c r="I576" s="20" t="str">
        <f>IF(LEN(G576)=0,"",VLOOKUP(G576,Issues!A:D,3,FALSE))</f>
        <v>Cobro doble vez.</v>
      </c>
      <c r="J576" s="19" t="str">
        <f>IF(LEN(G576)=0,"",VLOOKUP(G576,Issues!A:D,4,FALSE))</f>
        <v>Critico</v>
      </c>
      <c r="K576" s="21" t="str">
        <f t="shared" si="26"/>
        <v>Issue</v>
      </c>
    </row>
    <row r="577" spans="1:11" x14ac:dyDescent="0.35">
      <c r="A577" s="23">
        <v>46023</v>
      </c>
      <c r="B577" s="19" t="str">
        <f t="shared" si="25"/>
        <v>enero</v>
      </c>
      <c r="C577" s="19" t="str">
        <f t="shared" si="27"/>
        <v>2026</v>
      </c>
      <c r="D577" s="25" t="s">
        <v>208</v>
      </c>
      <c r="E577" s="25" t="s">
        <v>15</v>
      </c>
      <c r="F577" s="25" t="s">
        <v>175</v>
      </c>
      <c r="G577" s="24">
        <v>200</v>
      </c>
      <c r="H577" s="19" t="str">
        <f>IF(LEN(G577)=0,"",VLOOKUP(G577,Issues!A:D,2,FALSE))</f>
        <v>(200) Contenidos</v>
      </c>
      <c r="I577" s="20" t="str">
        <f>IF(LEN(G577)=0,"",VLOOKUP(G577,Issues!A:D,3,FALSE))</f>
        <v>Contenidos recibido con éxito.</v>
      </c>
      <c r="J577" s="19" t="str">
        <f>IF(LEN(G577)=0,"",VLOOKUP(G577,Issues!A:D,4,FALSE))</f>
        <v>Prueba OK</v>
      </c>
      <c r="K577" s="21" t="str">
        <f t="shared" si="26"/>
        <v>OK</v>
      </c>
    </row>
    <row r="578" spans="1:11" x14ac:dyDescent="0.35">
      <c r="A578" s="23">
        <v>46058</v>
      </c>
      <c r="B578" s="19" t="str">
        <f t="shared" si="25"/>
        <v>febrero</v>
      </c>
      <c r="C578" s="19" t="str">
        <f t="shared" si="27"/>
        <v>2026</v>
      </c>
      <c r="D578" s="25" t="s">
        <v>207</v>
      </c>
      <c r="E578" s="25" t="s">
        <v>14</v>
      </c>
      <c r="F578" s="25" t="s">
        <v>172</v>
      </c>
      <c r="G578" s="24">
        <v>100</v>
      </c>
      <c r="H578" s="19" t="str">
        <f>IF(LEN(G578)=0,"",VLOOKUP(G578,Issues!A:D,2,FALSE))</f>
        <v>(100)  Alta</v>
      </c>
      <c r="I578" s="20" t="str">
        <f>IF(LEN(G578)=0,"",VLOOKUP(G578,Issues!A:D,3,FALSE))</f>
        <v>Alta con éxito.</v>
      </c>
      <c r="J578" s="19" t="str">
        <f>IF(LEN(G578)=0,"",VLOOKUP(G578,Issues!A:D,4,FALSE))</f>
        <v>Prueba OK</v>
      </c>
      <c r="K578" s="21" t="str">
        <f t="shared" si="26"/>
        <v>OK</v>
      </c>
    </row>
    <row r="579" spans="1:11" x14ac:dyDescent="0.35">
      <c r="A579" s="23">
        <v>46050</v>
      </c>
      <c r="B579" s="19" t="str">
        <f t="shared" ref="B579:B642" si="28">IF(LEN(A579)=0,"",TEXT(A579,"mmmm"))</f>
        <v>enero</v>
      </c>
      <c r="C579" s="19" t="str">
        <f t="shared" si="27"/>
        <v>2026</v>
      </c>
      <c r="D579" s="25" t="s">
        <v>206</v>
      </c>
      <c r="E579" s="25" t="s">
        <v>10</v>
      </c>
      <c r="F579" s="25" t="s">
        <v>163</v>
      </c>
      <c r="G579" s="24">
        <v>408</v>
      </c>
      <c r="H579" s="19" t="str">
        <f>IF(LEN(G579)=0,"",VLOOKUP(G579,Issues!A:D,2,FALSE))</f>
        <v>(400) Portales / Web-App</v>
      </c>
      <c r="I579" s="20" t="str">
        <f>IF(LEN(G579)=0,"",VLOOKUP(G579,Issues!A:D,3,FALSE))</f>
        <v>Inconsistencias en los t&amp;c del portal / web-app.</v>
      </c>
      <c r="J579" s="19" t="str">
        <f>IF(LEN(G579)=0,"",VLOOKUP(G579,Issues!A:D,4,FALSE))</f>
        <v>Critico</v>
      </c>
      <c r="K579" s="21" t="str">
        <f t="shared" ref="K579:K642" si="29">IF(LEN(G579)=0,"",IF(OR(J579="critico",J579="Medio",J579="Bajo"),"Issue",IF(J579="Prueba OK","OK","")))</f>
        <v>Issue</v>
      </c>
    </row>
    <row r="580" spans="1:11" x14ac:dyDescent="0.35">
      <c r="A580" s="23">
        <v>46087</v>
      </c>
      <c r="B580" s="19" t="str">
        <f t="shared" si="28"/>
        <v>marzo</v>
      </c>
      <c r="C580" s="19" t="str">
        <f t="shared" si="27"/>
        <v>2026</v>
      </c>
      <c r="D580" s="25" t="s">
        <v>207</v>
      </c>
      <c r="E580" s="25" t="s">
        <v>11</v>
      </c>
      <c r="F580" s="25" t="s">
        <v>165</v>
      </c>
      <c r="G580" s="24">
        <v>704</v>
      </c>
      <c r="H580" s="19" t="str">
        <f>IF(LEN(G580)=0,"",VLOOKUP(G580,Issues!A:D,2,FALSE))</f>
        <v>(700) Interaccion MO/MT (On Demand)</v>
      </c>
      <c r="I580" s="20" t="str">
        <f>IF(LEN(G580)=0,"",VLOOKUP(G580,Issues!A:D,3,FALSE))</f>
        <v>Fallas en puntajes, trivias, creditos, etc.</v>
      </c>
      <c r="J580" s="19" t="str">
        <f>IF(LEN(G580)=0,"",VLOOKUP(G580,Issues!A:D,4,FALSE))</f>
        <v>Critico</v>
      </c>
      <c r="K580" s="21" t="str">
        <f t="shared" si="29"/>
        <v>Issue</v>
      </c>
    </row>
    <row r="581" spans="1:11" x14ac:dyDescent="0.35">
      <c r="A581" s="23">
        <v>46047</v>
      </c>
      <c r="B581" s="19" t="str">
        <f t="shared" si="28"/>
        <v>enero</v>
      </c>
      <c r="C581" s="19" t="str">
        <f t="shared" si="27"/>
        <v>2026</v>
      </c>
      <c r="D581" s="25" t="s">
        <v>206</v>
      </c>
      <c r="E581" s="25" t="s">
        <v>22</v>
      </c>
      <c r="F581" s="25" t="s">
        <v>154</v>
      </c>
      <c r="G581" s="24">
        <v>500</v>
      </c>
      <c r="H581" s="19" t="str">
        <f>IF(LEN(G581)=0,"",VLOOKUP(G581,Issues!A:D,2,FALSE))</f>
        <v>(500) Baja / Cancelacion</v>
      </c>
      <c r="I581" s="20" t="str">
        <f>IF(LEN(G581)=0,"",VLOOKUP(G581,Issues!A:D,3,FALSE))</f>
        <v>Baja con éxito.</v>
      </c>
      <c r="J581" s="19" t="str">
        <f>IF(LEN(G581)=0,"",VLOOKUP(G581,Issues!A:D,4,FALSE))</f>
        <v>Prueba OK</v>
      </c>
      <c r="K581" s="21" t="str">
        <f t="shared" si="29"/>
        <v>OK</v>
      </c>
    </row>
    <row r="582" spans="1:11" x14ac:dyDescent="0.35">
      <c r="A582" s="23">
        <v>46089</v>
      </c>
      <c r="B582" s="19" t="str">
        <f t="shared" si="28"/>
        <v>marzo</v>
      </c>
      <c r="C582" s="19" t="str">
        <f t="shared" si="27"/>
        <v>2026</v>
      </c>
      <c r="D582" s="25" t="s">
        <v>207</v>
      </c>
      <c r="E582" s="25" t="s">
        <v>12</v>
      </c>
      <c r="F582" s="25" t="s">
        <v>169</v>
      </c>
      <c r="G582" s="24">
        <v>205</v>
      </c>
      <c r="H582" s="19" t="str">
        <f>IF(LEN(G582)=0,"",VLOOKUP(G582,Issues!A:D,2,FALSE))</f>
        <v>(200) Contenidos</v>
      </c>
      <c r="I582" s="20" t="str">
        <f>IF(LEN(G582)=0,"",VLOOKUP(G582,Issues!A:D,3,FALSE))</f>
        <v>Llego contenido de otro club.</v>
      </c>
      <c r="J582" s="19" t="str">
        <f>IF(LEN(G582)=0,"",VLOOKUP(G582,Issues!A:D,4,FALSE))</f>
        <v>Critico</v>
      </c>
      <c r="K582" s="21" t="str">
        <f t="shared" si="29"/>
        <v>Issue</v>
      </c>
    </row>
    <row r="583" spans="1:11" x14ac:dyDescent="0.35">
      <c r="A583" s="23">
        <v>46107</v>
      </c>
      <c r="B583" s="19" t="str">
        <f t="shared" si="28"/>
        <v>marzo</v>
      </c>
      <c r="C583" s="19" t="str">
        <f t="shared" si="27"/>
        <v>2026</v>
      </c>
      <c r="D583" s="25" t="s">
        <v>207</v>
      </c>
      <c r="E583" s="25" t="s">
        <v>11</v>
      </c>
      <c r="F583" s="25" t="s">
        <v>165</v>
      </c>
      <c r="G583" s="24">
        <v>202</v>
      </c>
      <c r="H583" s="19" t="str">
        <f>IF(LEN(G583)=0,"",VLOOKUP(G583,Issues!A:D,2,FALSE))</f>
        <v>(200) Contenidos</v>
      </c>
      <c r="I583" s="20" t="str">
        <f>IF(LEN(G583)=0,"",VLOOKUP(G583,Issues!A:D,3,FALSE))</f>
        <v>Inconsistencias en textos/fraseologia sms.</v>
      </c>
      <c r="J583" s="19" t="str">
        <f>IF(LEN(G583)=0,"",VLOOKUP(G583,Issues!A:D,4,FALSE))</f>
        <v>Medio</v>
      </c>
      <c r="K583" s="21" t="str">
        <f t="shared" si="29"/>
        <v>Issue</v>
      </c>
    </row>
    <row r="584" spans="1:11" x14ac:dyDescent="0.35">
      <c r="A584" s="23">
        <v>46034</v>
      </c>
      <c r="B584" s="19" t="str">
        <f t="shared" si="28"/>
        <v>enero</v>
      </c>
      <c r="C584" s="19" t="str">
        <f t="shared" si="27"/>
        <v>2026</v>
      </c>
      <c r="D584" s="25" t="s">
        <v>208</v>
      </c>
      <c r="E584" s="25" t="s">
        <v>20</v>
      </c>
      <c r="F584" s="25" t="s">
        <v>189</v>
      </c>
      <c r="G584" s="24">
        <v>300</v>
      </c>
      <c r="H584" s="19" t="str">
        <f>IF(LEN(G584)=0,"",VLOOKUP(G584,Issues!A:D,2,FALSE))</f>
        <v>(300) Cobros</v>
      </c>
      <c r="I584" s="20" t="str">
        <f>IF(LEN(G584)=0,"",VLOOKUP(G584,Issues!A:D,3,FALSE))</f>
        <v>Cobro en valor y forma correcto.</v>
      </c>
      <c r="J584" s="19" t="str">
        <f>IF(LEN(G584)=0,"",VLOOKUP(G584,Issues!A:D,4,FALSE))</f>
        <v>Prueba OK</v>
      </c>
      <c r="K584" s="21" t="str">
        <f t="shared" si="29"/>
        <v>OK</v>
      </c>
    </row>
    <row r="585" spans="1:11" x14ac:dyDescent="0.35">
      <c r="A585" s="23">
        <v>46097</v>
      </c>
      <c r="B585" s="19" t="str">
        <f t="shared" si="28"/>
        <v>marzo</v>
      </c>
      <c r="C585" s="19" t="str">
        <f t="shared" si="27"/>
        <v>2026</v>
      </c>
      <c r="D585" s="25" t="s">
        <v>206</v>
      </c>
      <c r="E585" s="25" t="s">
        <v>15</v>
      </c>
      <c r="F585" s="25" t="s">
        <v>173</v>
      </c>
      <c r="G585" s="24">
        <v>300</v>
      </c>
      <c r="H585" s="19" t="str">
        <f>IF(LEN(G585)=0,"",VLOOKUP(G585,Issues!A:D,2,FALSE))</f>
        <v>(300) Cobros</v>
      </c>
      <c r="I585" s="20" t="str">
        <f>IF(LEN(G585)=0,"",VLOOKUP(G585,Issues!A:D,3,FALSE))</f>
        <v>Cobro en valor y forma correcto.</v>
      </c>
      <c r="J585" s="19" t="str">
        <f>IF(LEN(G585)=0,"",VLOOKUP(G585,Issues!A:D,4,FALSE))</f>
        <v>Prueba OK</v>
      </c>
      <c r="K585" s="21" t="str">
        <f t="shared" si="29"/>
        <v>OK</v>
      </c>
    </row>
    <row r="586" spans="1:11" x14ac:dyDescent="0.35">
      <c r="A586" s="23">
        <v>46152</v>
      </c>
      <c r="B586" s="19" t="str">
        <f t="shared" si="28"/>
        <v>mayo</v>
      </c>
      <c r="C586" s="19" t="str">
        <f t="shared" si="27"/>
        <v>2026</v>
      </c>
      <c r="D586" s="25" t="s">
        <v>208</v>
      </c>
      <c r="E586" s="25" t="s">
        <v>20</v>
      </c>
      <c r="F586" s="25" t="s">
        <v>190</v>
      </c>
      <c r="G586" s="24">
        <v>400</v>
      </c>
      <c r="H586" s="19" t="str">
        <f>IF(LEN(G586)=0,"",VLOOKUP(G586,Issues!A:D,2,FALSE))</f>
        <v>(400) Portales / Web-App</v>
      </c>
      <c r="I586" s="20" t="str">
        <f>IF(LEN(G586)=0,"",VLOOKUP(G586,Issues!A:D,3,FALSE))</f>
        <v>Portal evaluado con éxito.</v>
      </c>
      <c r="J586" s="19" t="str">
        <f>IF(LEN(G586)=0,"",VLOOKUP(G586,Issues!A:D,4,FALSE))</f>
        <v>Prueba OK</v>
      </c>
      <c r="K586" s="21" t="str">
        <f t="shared" si="29"/>
        <v>OK</v>
      </c>
    </row>
    <row r="587" spans="1:11" x14ac:dyDescent="0.35">
      <c r="A587" s="23">
        <v>46131</v>
      </c>
      <c r="B587" s="19" t="str">
        <f t="shared" si="28"/>
        <v>abril</v>
      </c>
      <c r="C587" s="19" t="str">
        <f t="shared" si="27"/>
        <v>2026</v>
      </c>
      <c r="D587" s="25" t="s">
        <v>204</v>
      </c>
      <c r="E587" s="25" t="s">
        <v>24</v>
      </c>
      <c r="F587" s="25" t="s">
        <v>159</v>
      </c>
      <c r="G587" s="24">
        <v>111</v>
      </c>
      <c r="H587" s="19" t="str">
        <f>IF(LEN(G587)=0,"",VLOOKUP(G587,Issues!A:D,2,FALSE))</f>
        <v>(100)  Alta</v>
      </c>
      <c r="I587" s="20" t="str">
        <f>IF(LEN(G587)=0,"",VLOOKUP(G587,Issues!A:D,3,FALSE))</f>
        <v>Falla en alta a traves de sim.</v>
      </c>
      <c r="J587" s="19" t="str">
        <f>IF(LEN(G587)=0,"",VLOOKUP(G587,Issues!A:D,4,FALSE))</f>
        <v>Critico</v>
      </c>
      <c r="K587" s="21" t="str">
        <f t="shared" si="29"/>
        <v>Issue</v>
      </c>
    </row>
    <row r="588" spans="1:11" x14ac:dyDescent="0.35">
      <c r="A588" s="23">
        <v>46043</v>
      </c>
      <c r="B588" s="19" t="str">
        <f t="shared" si="28"/>
        <v>enero</v>
      </c>
      <c r="C588" s="19" t="str">
        <f t="shared" si="27"/>
        <v>2026</v>
      </c>
      <c r="D588" s="25" t="s">
        <v>206</v>
      </c>
      <c r="E588" s="25" t="s">
        <v>24</v>
      </c>
      <c r="F588" s="25" t="s">
        <v>159</v>
      </c>
      <c r="G588" s="24">
        <v>700</v>
      </c>
      <c r="H588" s="19" t="str">
        <f>IF(LEN(G588)=0,"",VLOOKUP(G588,Issues!A:D,2,FALSE))</f>
        <v>(700) Interaccion MO/MT (On Demand)</v>
      </c>
      <c r="I588" s="20" t="str">
        <f>IF(LEN(G588)=0,"",VLOOKUP(G588,Issues!A:D,3,FALSE))</f>
        <v>Flujo MO/MT con éxito.</v>
      </c>
      <c r="J588" s="19" t="str">
        <f>IF(LEN(G588)=0,"",VLOOKUP(G588,Issues!A:D,4,FALSE))</f>
        <v>Prueba OK</v>
      </c>
      <c r="K588" s="21" t="str">
        <f t="shared" si="29"/>
        <v>OK</v>
      </c>
    </row>
    <row r="589" spans="1:11" x14ac:dyDescent="0.35">
      <c r="A589" s="23">
        <v>46049</v>
      </c>
      <c r="B589" s="19" t="str">
        <f t="shared" si="28"/>
        <v>enero</v>
      </c>
      <c r="C589" s="19" t="str">
        <f t="shared" si="27"/>
        <v>2026</v>
      </c>
      <c r="D589" s="25" t="s">
        <v>205</v>
      </c>
      <c r="E589" s="25" t="s">
        <v>26</v>
      </c>
      <c r="F589" s="25" t="s">
        <v>152</v>
      </c>
      <c r="G589" s="24">
        <v>100</v>
      </c>
      <c r="H589" s="19" t="str">
        <f>IF(LEN(G589)=0,"",VLOOKUP(G589,Issues!A:D,2,FALSE))</f>
        <v>(100)  Alta</v>
      </c>
      <c r="I589" s="20" t="str">
        <f>IF(LEN(G589)=0,"",VLOOKUP(G589,Issues!A:D,3,FALSE))</f>
        <v>Alta con éxito.</v>
      </c>
      <c r="J589" s="19" t="str">
        <f>IF(LEN(G589)=0,"",VLOOKUP(G589,Issues!A:D,4,FALSE))</f>
        <v>Prueba OK</v>
      </c>
      <c r="K589" s="21" t="str">
        <f t="shared" si="29"/>
        <v>OK</v>
      </c>
    </row>
    <row r="590" spans="1:11" x14ac:dyDescent="0.35">
      <c r="A590" s="23">
        <v>46126</v>
      </c>
      <c r="B590" s="19" t="str">
        <f t="shared" si="28"/>
        <v>abril</v>
      </c>
      <c r="C590" s="19" t="str">
        <f t="shared" si="27"/>
        <v>2026</v>
      </c>
      <c r="D590" s="25" t="s">
        <v>207</v>
      </c>
      <c r="E590" s="25" t="s">
        <v>27</v>
      </c>
      <c r="F590" s="25" t="s">
        <v>202</v>
      </c>
      <c r="G590" s="24">
        <v>500</v>
      </c>
      <c r="H590" s="19" t="str">
        <f>IF(LEN(G590)=0,"",VLOOKUP(G590,Issues!A:D,2,FALSE))</f>
        <v>(500) Baja / Cancelacion</v>
      </c>
      <c r="I590" s="20" t="str">
        <f>IF(LEN(G590)=0,"",VLOOKUP(G590,Issues!A:D,3,FALSE))</f>
        <v>Baja con éxito.</v>
      </c>
      <c r="J590" s="19" t="str">
        <f>IF(LEN(G590)=0,"",VLOOKUP(G590,Issues!A:D,4,FALSE))</f>
        <v>Prueba OK</v>
      </c>
      <c r="K590" s="21" t="str">
        <f t="shared" si="29"/>
        <v>OK</v>
      </c>
    </row>
    <row r="591" spans="1:11" x14ac:dyDescent="0.35">
      <c r="A591" s="23">
        <v>46092</v>
      </c>
      <c r="B591" s="19" t="str">
        <f t="shared" si="28"/>
        <v>marzo</v>
      </c>
      <c r="C591" s="19" t="str">
        <f t="shared" si="27"/>
        <v>2026</v>
      </c>
      <c r="D591" s="25" t="s">
        <v>209</v>
      </c>
      <c r="E591" s="25" t="s">
        <v>14</v>
      </c>
      <c r="F591" s="25" t="s">
        <v>170</v>
      </c>
      <c r="G591" s="24">
        <v>100</v>
      </c>
      <c r="H591" s="19" t="str">
        <f>IF(LEN(G591)=0,"",VLOOKUP(G591,Issues!A:D,2,FALSE))</f>
        <v>(100)  Alta</v>
      </c>
      <c r="I591" s="20" t="str">
        <f>IF(LEN(G591)=0,"",VLOOKUP(G591,Issues!A:D,3,FALSE))</f>
        <v>Alta con éxito.</v>
      </c>
      <c r="J591" s="19" t="str">
        <f>IF(LEN(G591)=0,"",VLOOKUP(G591,Issues!A:D,4,FALSE))</f>
        <v>Prueba OK</v>
      </c>
      <c r="K591" s="21" t="str">
        <f t="shared" si="29"/>
        <v>OK</v>
      </c>
    </row>
    <row r="592" spans="1:11" x14ac:dyDescent="0.35">
      <c r="A592" s="23">
        <v>46037</v>
      </c>
      <c r="B592" s="19" t="str">
        <f t="shared" si="28"/>
        <v>enero</v>
      </c>
      <c r="C592" s="19" t="str">
        <f t="shared" si="27"/>
        <v>2026</v>
      </c>
      <c r="D592" s="25" t="s">
        <v>207</v>
      </c>
      <c r="E592" s="25" t="s">
        <v>11</v>
      </c>
      <c r="F592" s="25" t="s">
        <v>166</v>
      </c>
      <c r="G592" s="24">
        <v>700</v>
      </c>
      <c r="H592" s="19" t="str">
        <f>IF(LEN(G592)=0,"",VLOOKUP(G592,Issues!A:D,2,FALSE))</f>
        <v>(700) Interaccion MO/MT (On Demand)</v>
      </c>
      <c r="I592" s="20" t="str">
        <f>IF(LEN(G592)=0,"",VLOOKUP(G592,Issues!A:D,3,FALSE))</f>
        <v>Flujo MO/MT con éxito.</v>
      </c>
      <c r="J592" s="19" t="str">
        <f>IF(LEN(G592)=0,"",VLOOKUP(G592,Issues!A:D,4,FALSE))</f>
        <v>Prueba OK</v>
      </c>
      <c r="K592" s="21" t="str">
        <f t="shared" si="29"/>
        <v>OK</v>
      </c>
    </row>
    <row r="593" spans="1:11" x14ac:dyDescent="0.35">
      <c r="A593" s="23">
        <v>46131</v>
      </c>
      <c r="B593" s="19" t="str">
        <f t="shared" si="28"/>
        <v>abril</v>
      </c>
      <c r="C593" s="19" t="str">
        <f t="shared" si="27"/>
        <v>2026</v>
      </c>
      <c r="D593" s="25" t="s">
        <v>204</v>
      </c>
      <c r="E593" s="25" t="s">
        <v>16</v>
      </c>
      <c r="F593" s="25" t="s">
        <v>176</v>
      </c>
      <c r="G593" s="24">
        <v>300</v>
      </c>
      <c r="H593" s="19" t="str">
        <f>IF(LEN(G593)=0,"",VLOOKUP(G593,Issues!A:D,2,FALSE))</f>
        <v>(300) Cobros</v>
      </c>
      <c r="I593" s="20" t="str">
        <f>IF(LEN(G593)=0,"",VLOOKUP(G593,Issues!A:D,3,FALSE))</f>
        <v>Cobro en valor y forma correcto.</v>
      </c>
      <c r="J593" s="19" t="str">
        <f>IF(LEN(G593)=0,"",VLOOKUP(G593,Issues!A:D,4,FALSE))</f>
        <v>Prueba OK</v>
      </c>
      <c r="K593" s="21" t="str">
        <f t="shared" si="29"/>
        <v>OK</v>
      </c>
    </row>
    <row r="594" spans="1:11" x14ac:dyDescent="0.35">
      <c r="A594" s="23">
        <v>46101</v>
      </c>
      <c r="B594" s="19" t="str">
        <f t="shared" si="28"/>
        <v>marzo</v>
      </c>
      <c r="C594" s="19" t="str">
        <f t="shared" si="27"/>
        <v>2026</v>
      </c>
      <c r="D594" s="25" t="s">
        <v>207</v>
      </c>
      <c r="E594" s="25" t="s">
        <v>21</v>
      </c>
      <c r="F594" s="25" t="s">
        <v>193</v>
      </c>
      <c r="G594" s="24">
        <v>306</v>
      </c>
      <c r="H594" s="19" t="str">
        <f>IF(LEN(G594)=0,"",VLOOKUP(G594,Issues!A:D,2,FALSE))</f>
        <v>(300) Cobros</v>
      </c>
      <c r="I594" s="20" t="str">
        <f>IF(LEN(G594)=0,"",VLOOKUP(G594,Issues!A:D,3,FALSE))</f>
        <v>Inconsistencias en la recurrencia del cobro.</v>
      </c>
      <c r="J594" s="19" t="str">
        <f>IF(LEN(G594)=0,"",VLOOKUP(G594,Issues!A:D,4,FALSE))</f>
        <v>Critico</v>
      </c>
      <c r="K594" s="21" t="str">
        <f t="shared" si="29"/>
        <v>Issue</v>
      </c>
    </row>
    <row r="595" spans="1:11" x14ac:dyDescent="0.35">
      <c r="A595" s="23">
        <v>46099</v>
      </c>
      <c r="B595" s="19" t="str">
        <f t="shared" si="28"/>
        <v>marzo</v>
      </c>
      <c r="C595" s="19" t="str">
        <f t="shared" ref="C595:C658" si="30">IF(LEN(A595)=0,"",TEXT(A595,"aaaa"))</f>
        <v>2026</v>
      </c>
      <c r="D595" s="25" t="s">
        <v>206</v>
      </c>
      <c r="E595" s="25" t="s">
        <v>10</v>
      </c>
      <c r="F595" s="25" t="s">
        <v>161</v>
      </c>
      <c r="G595" s="24">
        <v>400</v>
      </c>
      <c r="H595" s="19" t="str">
        <f>IF(LEN(G595)=0,"",VLOOKUP(G595,Issues!A:D,2,FALSE))</f>
        <v>(400) Portales / Web-App</v>
      </c>
      <c r="I595" s="20" t="str">
        <f>IF(LEN(G595)=0,"",VLOOKUP(G595,Issues!A:D,3,FALSE))</f>
        <v>Portal evaluado con éxito.</v>
      </c>
      <c r="J595" s="19" t="str">
        <f>IF(LEN(G595)=0,"",VLOOKUP(G595,Issues!A:D,4,FALSE))</f>
        <v>Prueba OK</v>
      </c>
      <c r="K595" s="21" t="str">
        <f t="shared" si="29"/>
        <v>OK</v>
      </c>
    </row>
    <row r="596" spans="1:11" x14ac:dyDescent="0.35">
      <c r="A596" s="23">
        <v>46098</v>
      </c>
      <c r="B596" s="19" t="str">
        <f t="shared" si="28"/>
        <v>marzo</v>
      </c>
      <c r="C596" s="19" t="str">
        <f t="shared" si="30"/>
        <v>2026</v>
      </c>
      <c r="D596" s="25" t="s">
        <v>207</v>
      </c>
      <c r="E596" s="25" t="s">
        <v>22</v>
      </c>
      <c r="F596" s="25" t="s">
        <v>150</v>
      </c>
      <c r="G596" s="24">
        <v>300</v>
      </c>
      <c r="H596" s="19" t="str">
        <f>IF(LEN(G596)=0,"",VLOOKUP(G596,Issues!A:D,2,FALSE))</f>
        <v>(300) Cobros</v>
      </c>
      <c r="I596" s="20" t="str">
        <f>IF(LEN(G596)=0,"",VLOOKUP(G596,Issues!A:D,3,FALSE))</f>
        <v>Cobro en valor y forma correcto.</v>
      </c>
      <c r="J596" s="19" t="str">
        <f>IF(LEN(G596)=0,"",VLOOKUP(G596,Issues!A:D,4,FALSE))</f>
        <v>Prueba OK</v>
      </c>
      <c r="K596" s="21" t="str">
        <f t="shared" si="29"/>
        <v>OK</v>
      </c>
    </row>
    <row r="597" spans="1:11" x14ac:dyDescent="0.35">
      <c r="A597" s="23">
        <v>46052</v>
      </c>
      <c r="B597" s="19" t="str">
        <f t="shared" si="28"/>
        <v>enero</v>
      </c>
      <c r="C597" s="19" t="str">
        <f t="shared" si="30"/>
        <v>2026</v>
      </c>
      <c r="D597" s="25" t="s">
        <v>207</v>
      </c>
      <c r="E597" s="25" t="s">
        <v>26</v>
      </c>
      <c r="F597" s="25" t="s">
        <v>152</v>
      </c>
      <c r="G597" s="24">
        <v>305</v>
      </c>
      <c r="H597" s="19" t="str">
        <f>IF(LEN(G597)=0,"",VLOOKUP(G597,Issues!A:D,2,FALSE))</f>
        <v>(300) Cobros</v>
      </c>
      <c r="I597" s="20" t="str">
        <f>IF(LEN(G597)=0,"",VLOOKUP(G597,Issues!A:D,3,FALSE))</f>
        <v>Cobro doble vez.</v>
      </c>
      <c r="J597" s="19" t="str">
        <f>IF(LEN(G597)=0,"",VLOOKUP(G597,Issues!A:D,4,FALSE))</f>
        <v>Critico</v>
      </c>
      <c r="K597" s="21" t="str">
        <f t="shared" si="29"/>
        <v>Issue</v>
      </c>
    </row>
    <row r="598" spans="1:11" x14ac:dyDescent="0.35">
      <c r="A598" s="23">
        <v>46062</v>
      </c>
      <c r="B598" s="19" t="str">
        <f t="shared" si="28"/>
        <v>febrero</v>
      </c>
      <c r="C598" s="19" t="str">
        <f t="shared" si="30"/>
        <v>2026</v>
      </c>
      <c r="D598" s="25" t="s">
        <v>206</v>
      </c>
      <c r="E598" s="25" t="s">
        <v>22</v>
      </c>
      <c r="F598" s="25" t="s">
        <v>154</v>
      </c>
      <c r="G598" s="24">
        <v>114</v>
      </c>
      <c r="H598" s="19" t="str">
        <f>IF(LEN(G598)=0,"",VLOOKUP(G598,Issues!A:D,2,FALSE))</f>
        <v>(100)  Alta</v>
      </c>
      <c r="I598" s="20" t="str">
        <f>IF(LEN(G598)=0,"",VLOOKUP(G598,Issues!A:D,3,FALSE))</f>
        <v>Falla en doble optin en sim.</v>
      </c>
      <c r="J598" s="19" t="str">
        <f>IF(LEN(G598)=0,"",VLOOKUP(G598,Issues!A:D,4,FALSE))</f>
        <v>Critico</v>
      </c>
      <c r="K598" s="21" t="str">
        <f t="shared" si="29"/>
        <v>Issue</v>
      </c>
    </row>
    <row r="599" spans="1:11" x14ac:dyDescent="0.35">
      <c r="A599" s="23">
        <v>46045</v>
      </c>
      <c r="B599" s="19" t="str">
        <f t="shared" si="28"/>
        <v>enero</v>
      </c>
      <c r="C599" s="19" t="str">
        <f t="shared" si="30"/>
        <v>2026</v>
      </c>
      <c r="D599" s="25" t="s">
        <v>207</v>
      </c>
      <c r="E599" s="25" t="s">
        <v>20</v>
      </c>
      <c r="F599" s="25" t="s">
        <v>190</v>
      </c>
      <c r="G599" s="24">
        <v>800</v>
      </c>
      <c r="H599" s="19" t="str">
        <f>IF(LEN(G599)=0,"",VLOOKUP(G599,Issues!A:D,2,FALSE))</f>
        <v>(800) Politicas especiales operadores</v>
      </c>
      <c r="I599" s="20" t="str">
        <f>IF(LEN(G599)=0,"",VLOOKUP(G599,Issues!A:D,3,FALSE))</f>
        <v>Politicas de los operadores cumplidas.</v>
      </c>
      <c r="J599" s="19" t="str">
        <f>IF(LEN(G599)=0,"",VLOOKUP(G599,Issues!A:D,4,FALSE))</f>
        <v>Prueba OK</v>
      </c>
      <c r="K599" s="21" t="str">
        <f t="shared" si="29"/>
        <v>OK</v>
      </c>
    </row>
    <row r="600" spans="1:11" x14ac:dyDescent="0.35">
      <c r="A600" s="23">
        <v>46041</v>
      </c>
      <c r="B600" s="19" t="str">
        <f t="shared" si="28"/>
        <v>enero</v>
      </c>
      <c r="C600" s="19" t="str">
        <f t="shared" si="30"/>
        <v>2026</v>
      </c>
      <c r="D600" s="25" t="s">
        <v>206</v>
      </c>
      <c r="E600" s="25" t="s">
        <v>15</v>
      </c>
      <c r="F600" s="25" t="s">
        <v>175</v>
      </c>
      <c r="G600" s="24">
        <v>409</v>
      </c>
      <c r="H600" s="19" t="str">
        <f>IF(LEN(G600)=0,"",VLOOKUP(G600,Issues!A:D,2,FALSE))</f>
        <v>(400) Portales / Web-App</v>
      </c>
      <c r="I600" s="20" t="str">
        <f>IF(LEN(G600)=0,"",VLOOKUP(G600,Issues!A:D,3,FALSE))</f>
        <v>409 no cumple con caracteristicas de diseño responsive.</v>
      </c>
      <c r="J600" s="19" t="str">
        <f>IF(LEN(G600)=0,"",VLOOKUP(G600,Issues!A:D,4,FALSE))</f>
        <v>Critico</v>
      </c>
      <c r="K600" s="21" t="str">
        <f t="shared" si="29"/>
        <v>Issue</v>
      </c>
    </row>
    <row r="601" spans="1:11" x14ac:dyDescent="0.35">
      <c r="A601" s="23">
        <v>46083</v>
      </c>
      <c r="B601" s="19" t="str">
        <f t="shared" si="28"/>
        <v>marzo</v>
      </c>
      <c r="C601" s="19" t="str">
        <f t="shared" si="30"/>
        <v>2026</v>
      </c>
      <c r="D601" s="25" t="s">
        <v>207</v>
      </c>
      <c r="E601" s="25" t="s">
        <v>17</v>
      </c>
      <c r="F601" s="25" t="s">
        <v>180</v>
      </c>
      <c r="G601" s="24">
        <v>400</v>
      </c>
      <c r="H601" s="19" t="str">
        <f>IF(LEN(G601)=0,"",VLOOKUP(G601,Issues!A:D,2,FALSE))</f>
        <v>(400) Portales / Web-App</v>
      </c>
      <c r="I601" s="20" t="str">
        <f>IF(LEN(G601)=0,"",VLOOKUP(G601,Issues!A:D,3,FALSE))</f>
        <v>Portal evaluado con éxito.</v>
      </c>
      <c r="J601" s="19" t="str">
        <f>IF(LEN(G601)=0,"",VLOOKUP(G601,Issues!A:D,4,FALSE))</f>
        <v>Prueba OK</v>
      </c>
      <c r="K601" s="21" t="str">
        <f t="shared" si="29"/>
        <v>OK</v>
      </c>
    </row>
    <row r="602" spans="1:11" x14ac:dyDescent="0.35">
      <c r="A602" s="23">
        <v>46084</v>
      </c>
      <c r="B602" s="19" t="str">
        <f t="shared" si="28"/>
        <v>marzo</v>
      </c>
      <c r="C602" s="19" t="str">
        <f t="shared" si="30"/>
        <v>2026</v>
      </c>
      <c r="D602" s="25" t="s">
        <v>207</v>
      </c>
      <c r="E602" s="25" t="s">
        <v>26</v>
      </c>
      <c r="F602" s="25" t="s">
        <v>160</v>
      </c>
      <c r="G602" s="24">
        <v>505</v>
      </c>
      <c r="H602" s="19" t="str">
        <f>IF(LEN(G602)=0,"",VLOOKUP(G602,Issues!A:D,2,FALSE))</f>
        <v>(500) Baja / Cancelacion</v>
      </c>
      <c r="I602" s="20" t="str">
        <f>IF(LEN(G602)=0,"",VLOOKUP(G602,Issues!A:D,3,FALSE))</f>
        <v>No funciona la baja desde tienda.</v>
      </c>
      <c r="J602" s="19" t="str">
        <f>IF(LEN(G602)=0,"",VLOOKUP(G602,Issues!A:D,4,FALSE))</f>
        <v>Critico</v>
      </c>
      <c r="K602" s="21" t="str">
        <f t="shared" si="29"/>
        <v>Issue</v>
      </c>
    </row>
    <row r="603" spans="1:11" x14ac:dyDescent="0.35">
      <c r="A603" s="23">
        <v>46050</v>
      </c>
      <c r="B603" s="19" t="str">
        <f t="shared" si="28"/>
        <v>enero</v>
      </c>
      <c r="C603" s="19" t="str">
        <f t="shared" si="30"/>
        <v>2026</v>
      </c>
      <c r="D603" s="25" t="s">
        <v>206</v>
      </c>
      <c r="E603" s="25" t="s">
        <v>20</v>
      </c>
      <c r="F603" s="25" t="s">
        <v>190</v>
      </c>
      <c r="G603" s="24">
        <v>101</v>
      </c>
      <c r="H603" s="19" t="str">
        <f>IF(LEN(G603)=0,"",VLOOKUP(G603,Issues!A:D,2,FALSE))</f>
        <v>(100)  Alta</v>
      </c>
      <c r="I603" s="20" t="str">
        <f>IF(LEN(G603)=0,"",VLOOKUP(G603,Issues!A:D,3,FALSE))</f>
        <v>No se genero el alta - no hay respuesta al kw.</v>
      </c>
      <c r="J603" s="19" t="str">
        <f>IF(LEN(G603)=0,"",VLOOKUP(G603,Issues!A:D,4,FALSE))</f>
        <v>Critico</v>
      </c>
      <c r="K603" s="21" t="str">
        <f t="shared" si="29"/>
        <v>Issue</v>
      </c>
    </row>
    <row r="604" spans="1:11" x14ac:dyDescent="0.35">
      <c r="A604" s="23">
        <v>46113</v>
      </c>
      <c r="B604" s="19" t="str">
        <f t="shared" si="28"/>
        <v>abril</v>
      </c>
      <c r="C604" s="19" t="str">
        <f t="shared" si="30"/>
        <v>2026</v>
      </c>
      <c r="D604" s="25" t="s">
        <v>207</v>
      </c>
      <c r="E604" s="25" t="s">
        <v>17</v>
      </c>
      <c r="F604" s="25" t="s">
        <v>181</v>
      </c>
      <c r="G604" s="24">
        <v>504</v>
      </c>
      <c r="H604" s="19" t="str">
        <f>IF(LEN(G604)=0,"",VLOOKUP(G604,Issues!A:D,2,FALSE))</f>
        <v>(500) Baja / Cancelacion</v>
      </c>
      <c r="I604" s="20" t="str">
        <f>IF(LEN(G604)=0,"",VLOOKUP(G604,Issues!A:D,3,FALSE))</f>
        <v>No funciona la baja desde la lp.</v>
      </c>
      <c r="J604" s="19" t="str">
        <f>IF(LEN(G604)=0,"",VLOOKUP(G604,Issues!A:D,4,FALSE))</f>
        <v>Critico</v>
      </c>
      <c r="K604" s="21" t="str">
        <f t="shared" si="29"/>
        <v>Issue</v>
      </c>
    </row>
    <row r="605" spans="1:11" x14ac:dyDescent="0.35">
      <c r="A605" s="23">
        <v>46153</v>
      </c>
      <c r="B605" s="19" t="str">
        <f t="shared" si="28"/>
        <v>mayo</v>
      </c>
      <c r="C605" s="19" t="str">
        <f t="shared" si="30"/>
        <v>2026</v>
      </c>
      <c r="D605" s="25" t="s">
        <v>206</v>
      </c>
      <c r="E605" s="25" t="s">
        <v>16</v>
      </c>
      <c r="F605" s="25" t="s">
        <v>176</v>
      </c>
      <c r="G605" s="24">
        <v>300</v>
      </c>
      <c r="H605" s="19" t="str">
        <f>IF(LEN(G605)=0,"",VLOOKUP(G605,Issues!A:D,2,FALSE))</f>
        <v>(300) Cobros</v>
      </c>
      <c r="I605" s="20" t="str">
        <f>IF(LEN(G605)=0,"",VLOOKUP(G605,Issues!A:D,3,FALSE))</f>
        <v>Cobro en valor y forma correcto.</v>
      </c>
      <c r="J605" s="19" t="str">
        <f>IF(LEN(G605)=0,"",VLOOKUP(G605,Issues!A:D,4,FALSE))</f>
        <v>Prueba OK</v>
      </c>
      <c r="K605" s="21" t="str">
        <f t="shared" si="29"/>
        <v>OK</v>
      </c>
    </row>
    <row r="606" spans="1:11" x14ac:dyDescent="0.35">
      <c r="A606" s="23">
        <v>46028</v>
      </c>
      <c r="B606" s="19" t="str">
        <f t="shared" si="28"/>
        <v>enero</v>
      </c>
      <c r="C606" s="19" t="str">
        <f t="shared" si="30"/>
        <v>2026</v>
      </c>
      <c r="D606" s="25" t="s">
        <v>207</v>
      </c>
      <c r="E606" s="25" t="s">
        <v>12</v>
      </c>
      <c r="F606" s="25" t="s">
        <v>167</v>
      </c>
      <c r="G606" s="24">
        <v>200</v>
      </c>
      <c r="H606" s="19" t="str">
        <f>IF(LEN(G606)=0,"",VLOOKUP(G606,Issues!A:D,2,FALSE))</f>
        <v>(200) Contenidos</v>
      </c>
      <c r="I606" s="20" t="str">
        <f>IF(LEN(G606)=0,"",VLOOKUP(G606,Issues!A:D,3,FALSE))</f>
        <v>Contenidos recibido con éxito.</v>
      </c>
      <c r="J606" s="19" t="str">
        <f>IF(LEN(G606)=0,"",VLOOKUP(G606,Issues!A:D,4,FALSE))</f>
        <v>Prueba OK</v>
      </c>
      <c r="K606" s="21" t="str">
        <f t="shared" si="29"/>
        <v>OK</v>
      </c>
    </row>
    <row r="607" spans="1:11" x14ac:dyDescent="0.35">
      <c r="A607" s="23">
        <v>46149</v>
      </c>
      <c r="B607" s="19" t="str">
        <f t="shared" si="28"/>
        <v>mayo</v>
      </c>
      <c r="C607" s="19" t="str">
        <f t="shared" si="30"/>
        <v>2026</v>
      </c>
      <c r="D607" s="25" t="s">
        <v>206</v>
      </c>
      <c r="E607" s="25" t="s">
        <v>23</v>
      </c>
      <c r="F607" s="25" t="s">
        <v>196</v>
      </c>
      <c r="G607" s="24">
        <v>500</v>
      </c>
      <c r="H607" s="19" t="str">
        <f>IF(LEN(G607)=0,"",VLOOKUP(G607,Issues!A:D,2,FALSE))</f>
        <v>(500) Baja / Cancelacion</v>
      </c>
      <c r="I607" s="20" t="str">
        <f>IF(LEN(G607)=0,"",VLOOKUP(G607,Issues!A:D,3,FALSE))</f>
        <v>Baja con éxito.</v>
      </c>
      <c r="J607" s="19" t="str">
        <f>IF(LEN(G607)=0,"",VLOOKUP(G607,Issues!A:D,4,FALSE))</f>
        <v>Prueba OK</v>
      </c>
      <c r="K607" s="21" t="str">
        <f t="shared" si="29"/>
        <v>OK</v>
      </c>
    </row>
    <row r="608" spans="1:11" x14ac:dyDescent="0.35">
      <c r="A608" s="23">
        <v>46118</v>
      </c>
      <c r="B608" s="19" t="str">
        <f t="shared" si="28"/>
        <v>abril</v>
      </c>
      <c r="C608" s="19" t="str">
        <f t="shared" si="30"/>
        <v>2026</v>
      </c>
      <c r="D608" s="25" t="s">
        <v>206</v>
      </c>
      <c r="E608" s="25" t="s">
        <v>17</v>
      </c>
      <c r="F608" s="25" t="s">
        <v>180</v>
      </c>
      <c r="G608" s="24">
        <v>800</v>
      </c>
      <c r="H608" s="19" t="str">
        <f>IF(LEN(G608)=0,"",VLOOKUP(G608,Issues!A:D,2,FALSE))</f>
        <v>(800) Politicas especiales operadores</v>
      </c>
      <c r="I608" s="20" t="str">
        <f>IF(LEN(G608)=0,"",VLOOKUP(G608,Issues!A:D,3,FALSE))</f>
        <v>Politicas de los operadores cumplidas.</v>
      </c>
      <c r="J608" s="19" t="str">
        <f>IF(LEN(G608)=0,"",VLOOKUP(G608,Issues!A:D,4,FALSE))</f>
        <v>Prueba OK</v>
      </c>
      <c r="K608" s="21" t="str">
        <f t="shared" si="29"/>
        <v>OK</v>
      </c>
    </row>
    <row r="609" spans="1:11" x14ac:dyDescent="0.35">
      <c r="A609" s="23">
        <v>46144</v>
      </c>
      <c r="B609" s="19" t="str">
        <f t="shared" si="28"/>
        <v>mayo</v>
      </c>
      <c r="C609" s="19" t="str">
        <f t="shared" si="30"/>
        <v>2026</v>
      </c>
      <c r="D609" s="25" t="s">
        <v>206</v>
      </c>
      <c r="E609" s="25" t="s">
        <v>10</v>
      </c>
      <c r="F609" s="25" t="s">
        <v>161</v>
      </c>
      <c r="G609" s="24">
        <v>800</v>
      </c>
      <c r="H609" s="19" t="str">
        <f>IF(LEN(G609)=0,"",VLOOKUP(G609,Issues!A:D,2,FALSE))</f>
        <v>(800) Politicas especiales operadores</v>
      </c>
      <c r="I609" s="20" t="str">
        <f>IF(LEN(G609)=0,"",VLOOKUP(G609,Issues!A:D,3,FALSE))</f>
        <v>Politicas de los operadores cumplidas.</v>
      </c>
      <c r="J609" s="19" t="str">
        <f>IF(LEN(G609)=0,"",VLOOKUP(G609,Issues!A:D,4,FALSE))</f>
        <v>Prueba OK</v>
      </c>
      <c r="K609" s="21" t="str">
        <f t="shared" si="29"/>
        <v>OK</v>
      </c>
    </row>
    <row r="610" spans="1:11" x14ac:dyDescent="0.35">
      <c r="A610" s="23">
        <v>46094</v>
      </c>
      <c r="B610" s="19" t="str">
        <f t="shared" si="28"/>
        <v>marzo</v>
      </c>
      <c r="C610" s="19" t="str">
        <f t="shared" si="30"/>
        <v>2026</v>
      </c>
      <c r="D610" s="25" t="s">
        <v>207</v>
      </c>
      <c r="E610" s="25" t="s">
        <v>16</v>
      </c>
      <c r="F610" s="25" t="s">
        <v>178</v>
      </c>
      <c r="G610" s="24">
        <v>111</v>
      </c>
      <c r="H610" s="19" t="str">
        <f>IF(LEN(G610)=0,"",VLOOKUP(G610,Issues!A:D,2,FALSE))</f>
        <v>(100)  Alta</v>
      </c>
      <c r="I610" s="20" t="str">
        <f>IF(LEN(G610)=0,"",VLOOKUP(G610,Issues!A:D,3,FALSE))</f>
        <v>Falla en alta a traves de sim.</v>
      </c>
      <c r="J610" s="19" t="str">
        <f>IF(LEN(G610)=0,"",VLOOKUP(G610,Issues!A:D,4,FALSE))</f>
        <v>Critico</v>
      </c>
      <c r="K610" s="21" t="str">
        <f t="shared" si="29"/>
        <v>Issue</v>
      </c>
    </row>
    <row r="611" spans="1:11" x14ac:dyDescent="0.35">
      <c r="A611" s="23">
        <v>46058</v>
      </c>
      <c r="B611" s="19" t="str">
        <f t="shared" si="28"/>
        <v>febrero</v>
      </c>
      <c r="C611" s="19" t="str">
        <f t="shared" si="30"/>
        <v>2026</v>
      </c>
      <c r="D611" s="25" t="s">
        <v>206</v>
      </c>
      <c r="E611" s="25" t="s">
        <v>15</v>
      </c>
      <c r="F611" s="25" t="s">
        <v>175</v>
      </c>
      <c r="G611" s="24">
        <v>801</v>
      </c>
      <c r="H611" s="19" t="str">
        <f>IF(LEN(G611)=0,"",VLOOKUP(G611,Issues!A:D,2,FALSE))</f>
        <v>(800) Politicas especiales operadores</v>
      </c>
      <c r="I611" s="20" t="str">
        <f>IF(LEN(G611)=0,"",VLOOKUP(G611,Issues!A:D,3,FALSE))</f>
        <v>No da respuesta a kw regulatorio.</v>
      </c>
      <c r="J611" s="19" t="str">
        <f>IF(LEN(G611)=0,"",VLOOKUP(G611,Issues!A:D,4,FALSE))</f>
        <v>Critico</v>
      </c>
      <c r="K611" s="21" t="str">
        <f t="shared" si="29"/>
        <v>Issue</v>
      </c>
    </row>
    <row r="612" spans="1:11" x14ac:dyDescent="0.35">
      <c r="A612" s="23">
        <v>46053</v>
      </c>
      <c r="B612" s="19" t="str">
        <f t="shared" si="28"/>
        <v>enero</v>
      </c>
      <c r="C612" s="19" t="str">
        <f t="shared" si="30"/>
        <v>2026</v>
      </c>
      <c r="D612" s="25" t="s">
        <v>207</v>
      </c>
      <c r="E612" s="25" t="s">
        <v>11</v>
      </c>
      <c r="F612" s="25" t="s">
        <v>164</v>
      </c>
      <c r="G612" s="24">
        <v>507</v>
      </c>
      <c r="H612" s="19" t="str">
        <f>IF(LEN(G612)=0,"",VLOOKUP(G612,Issues!A:D,2,FALSE))</f>
        <v>(500) Baja / Cancelacion</v>
      </c>
      <c r="I612" s="20" t="str">
        <f>IF(LEN(G612)=0,"",VLOOKUP(G612,Issues!A:D,3,FALSE))</f>
        <v>No funciona la baja desde portal / web app.</v>
      </c>
      <c r="J612" s="19" t="str">
        <f>IF(LEN(G612)=0,"",VLOOKUP(G612,Issues!A:D,4,FALSE))</f>
        <v>Critico</v>
      </c>
      <c r="K612" s="21" t="str">
        <f t="shared" si="29"/>
        <v>Issue</v>
      </c>
    </row>
    <row r="613" spans="1:11" x14ac:dyDescent="0.35">
      <c r="A613" s="23">
        <v>46025</v>
      </c>
      <c r="B613" s="19" t="str">
        <f t="shared" si="28"/>
        <v>enero</v>
      </c>
      <c r="C613" s="19" t="str">
        <f t="shared" si="30"/>
        <v>2026</v>
      </c>
      <c r="D613" s="25" t="s">
        <v>206</v>
      </c>
      <c r="E613" s="25" t="s">
        <v>16</v>
      </c>
      <c r="F613" s="25" t="s">
        <v>178</v>
      </c>
      <c r="G613" s="24">
        <v>401</v>
      </c>
      <c r="H613" s="19" t="str">
        <f>IF(LEN(G613)=0,"",VLOOKUP(G613,Issues!A:D,2,FALSE))</f>
        <v>(400) Portales / Web-App</v>
      </c>
      <c r="I613" s="20" t="str">
        <f>IF(LEN(G613)=0,"",VLOOKUP(G613,Issues!A:D,3,FALSE))</f>
        <v>Problemas con las credenciales y acceso a portal / web-app.</v>
      </c>
      <c r="J613" s="19" t="str">
        <f>IF(LEN(G613)=0,"",VLOOKUP(G613,Issues!A:D,4,FALSE))</f>
        <v>Critico</v>
      </c>
      <c r="K613" s="21" t="str">
        <f t="shared" si="29"/>
        <v>Issue</v>
      </c>
    </row>
    <row r="614" spans="1:11" x14ac:dyDescent="0.35">
      <c r="A614" s="23">
        <v>46122</v>
      </c>
      <c r="B614" s="19" t="str">
        <f t="shared" si="28"/>
        <v>abril</v>
      </c>
      <c r="C614" s="19" t="str">
        <f t="shared" si="30"/>
        <v>2026</v>
      </c>
      <c r="D614" s="25" t="s">
        <v>207</v>
      </c>
      <c r="E614" s="25" t="s">
        <v>22</v>
      </c>
      <c r="F614" s="25" t="s">
        <v>150</v>
      </c>
      <c r="G614" s="24">
        <v>802</v>
      </c>
      <c r="H614" s="19" t="str">
        <f>IF(LEN(G614)=0,"",VLOOKUP(G614,Issues!A:D,2,FALSE))</f>
        <v>(800) Politicas especiales operadores</v>
      </c>
      <c r="I614" s="20" t="str">
        <f>IF(LEN(G614)=0,"",VLOOKUP(G614,Issues!A:D,3,FALSE))</f>
        <v>Falla en colilla legal con info del cp.</v>
      </c>
      <c r="J614" s="19" t="str">
        <f>IF(LEN(G614)=0,"",VLOOKUP(G614,Issues!A:D,4,FALSE))</f>
        <v>Critico</v>
      </c>
      <c r="K614" s="21" t="str">
        <f t="shared" si="29"/>
        <v>Issue</v>
      </c>
    </row>
    <row r="615" spans="1:11" x14ac:dyDescent="0.35">
      <c r="A615" s="23">
        <v>46133</v>
      </c>
      <c r="B615" s="19" t="str">
        <f t="shared" si="28"/>
        <v>abril</v>
      </c>
      <c r="C615" s="19" t="str">
        <f t="shared" si="30"/>
        <v>2026</v>
      </c>
      <c r="D615" s="25" t="s">
        <v>204</v>
      </c>
      <c r="E615" s="25" t="s">
        <v>22</v>
      </c>
      <c r="F615" s="25" t="s">
        <v>154</v>
      </c>
      <c r="G615" s="24">
        <v>500</v>
      </c>
      <c r="H615" s="19" t="str">
        <f>IF(LEN(G615)=0,"",VLOOKUP(G615,Issues!A:D,2,FALSE))</f>
        <v>(500) Baja / Cancelacion</v>
      </c>
      <c r="I615" s="20" t="str">
        <f>IF(LEN(G615)=0,"",VLOOKUP(G615,Issues!A:D,3,FALSE))</f>
        <v>Baja con éxito.</v>
      </c>
      <c r="J615" s="19" t="str">
        <f>IF(LEN(G615)=0,"",VLOOKUP(G615,Issues!A:D,4,FALSE))</f>
        <v>Prueba OK</v>
      </c>
      <c r="K615" s="21" t="str">
        <f t="shared" si="29"/>
        <v>OK</v>
      </c>
    </row>
    <row r="616" spans="1:11" x14ac:dyDescent="0.35">
      <c r="A616" s="23">
        <v>46093</v>
      </c>
      <c r="B616" s="19" t="str">
        <f t="shared" si="28"/>
        <v>marzo</v>
      </c>
      <c r="C616" s="19" t="str">
        <f t="shared" si="30"/>
        <v>2026</v>
      </c>
      <c r="D616" s="25" t="s">
        <v>206</v>
      </c>
      <c r="E616" s="25" t="s">
        <v>16</v>
      </c>
      <c r="F616" s="25" t="s">
        <v>178</v>
      </c>
      <c r="G616" s="24">
        <v>102</v>
      </c>
      <c r="H616" s="19" t="str">
        <f>IF(LEN(G616)=0,"",VLOOKUP(G616,Issues!A:D,2,FALSE))</f>
        <v>(100)  Alta</v>
      </c>
      <c r="I616" s="20" t="str">
        <f>IF(LEN(G616)=0,"",VLOOKUP(G616,Issues!A:D,3,FALSE))</f>
        <v>Falla en doble optin en sms.</v>
      </c>
      <c r="J616" s="19" t="str">
        <f>IF(LEN(G616)=0,"",VLOOKUP(G616,Issues!A:D,4,FALSE))</f>
        <v>Critico</v>
      </c>
      <c r="K616" s="21" t="str">
        <f t="shared" si="29"/>
        <v>Issue</v>
      </c>
    </row>
    <row r="617" spans="1:11" x14ac:dyDescent="0.35">
      <c r="A617" s="23">
        <v>46144</v>
      </c>
      <c r="B617" s="19" t="str">
        <f t="shared" si="28"/>
        <v>mayo</v>
      </c>
      <c r="C617" s="19" t="str">
        <f t="shared" si="30"/>
        <v>2026</v>
      </c>
      <c r="D617" s="25" t="s">
        <v>206</v>
      </c>
      <c r="E617" s="25" t="s">
        <v>10</v>
      </c>
      <c r="F617" s="25" t="s">
        <v>161</v>
      </c>
      <c r="G617" s="24">
        <v>504</v>
      </c>
      <c r="H617" s="19" t="str">
        <f>IF(LEN(G617)=0,"",VLOOKUP(G617,Issues!A:D,2,FALSE))</f>
        <v>(500) Baja / Cancelacion</v>
      </c>
      <c r="I617" s="20" t="str">
        <f>IF(LEN(G617)=0,"",VLOOKUP(G617,Issues!A:D,3,FALSE))</f>
        <v>No funciona la baja desde la lp.</v>
      </c>
      <c r="J617" s="19" t="str">
        <f>IF(LEN(G617)=0,"",VLOOKUP(G617,Issues!A:D,4,FALSE))</f>
        <v>Critico</v>
      </c>
      <c r="K617" s="21" t="str">
        <f t="shared" si="29"/>
        <v>Issue</v>
      </c>
    </row>
    <row r="618" spans="1:11" x14ac:dyDescent="0.35">
      <c r="A618" s="23">
        <v>46120</v>
      </c>
      <c r="B618" s="19" t="str">
        <f t="shared" si="28"/>
        <v>abril</v>
      </c>
      <c r="C618" s="19" t="str">
        <f t="shared" si="30"/>
        <v>2026</v>
      </c>
      <c r="D618" s="25" t="s">
        <v>206</v>
      </c>
      <c r="E618" s="25" t="s">
        <v>25</v>
      </c>
      <c r="F618" s="25" t="s">
        <v>199</v>
      </c>
      <c r="G618" s="24">
        <v>304</v>
      </c>
      <c r="H618" s="19" t="str">
        <f>IF(LEN(G618)=0,"",VLOOKUP(G618,Issues!A:D,2,FALSE))</f>
        <v>(300) Cobros</v>
      </c>
      <c r="I618" s="20" t="str">
        <f>IF(LEN(G618)=0,"",VLOOKUP(G618,Issues!A:D,3,FALSE))</f>
        <v>Cobro valor diferente al autorizado.</v>
      </c>
      <c r="J618" s="19" t="str">
        <f>IF(LEN(G618)=0,"",VLOOKUP(G618,Issues!A:D,4,FALSE))</f>
        <v>Critico</v>
      </c>
      <c r="K618" s="21" t="str">
        <f t="shared" si="29"/>
        <v>Issue</v>
      </c>
    </row>
    <row r="619" spans="1:11" x14ac:dyDescent="0.35">
      <c r="A619" s="23">
        <v>46143</v>
      </c>
      <c r="B619" s="19" t="str">
        <f t="shared" si="28"/>
        <v>mayo</v>
      </c>
      <c r="C619" s="19" t="str">
        <f t="shared" si="30"/>
        <v>2026</v>
      </c>
      <c r="D619" s="25" t="s">
        <v>207</v>
      </c>
      <c r="E619" s="25" t="s">
        <v>10</v>
      </c>
      <c r="F619" s="25" t="s">
        <v>161</v>
      </c>
      <c r="G619" s="24">
        <v>308</v>
      </c>
      <c r="H619" s="19" t="str">
        <f>IF(LEN(G619)=0,"",VLOOKUP(G619,Issues!A:D,2,FALSE))</f>
        <v>(300) Cobros</v>
      </c>
      <c r="I619" s="20" t="str">
        <f>IF(LEN(G619)=0,"",VLOOKUP(G619,Issues!A:D,3,FALSE))</f>
        <v>No entrega confirmacion de cobro.</v>
      </c>
      <c r="J619" s="19" t="str">
        <f>IF(LEN(G619)=0,"",VLOOKUP(G619,Issues!A:D,4,FALSE))</f>
        <v>Critico</v>
      </c>
      <c r="K619" s="21" t="str">
        <f t="shared" si="29"/>
        <v>Issue</v>
      </c>
    </row>
    <row r="620" spans="1:11" x14ac:dyDescent="0.35">
      <c r="A620" s="23">
        <v>46035</v>
      </c>
      <c r="B620" s="19" t="str">
        <f t="shared" si="28"/>
        <v>enero</v>
      </c>
      <c r="C620" s="19" t="str">
        <f t="shared" si="30"/>
        <v>2026</v>
      </c>
      <c r="D620" s="25" t="s">
        <v>206</v>
      </c>
      <c r="E620" s="25" t="s">
        <v>18</v>
      </c>
      <c r="F620" s="25" t="s">
        <v>182</v>
      </c>
      <c r="G620" s="24">
        <v>400</v>
      </c>
      <c r="H620" s="19" t="str">
        <f>IF(LEN(G620)=0,"",VLOOKUP(G620,Issues!A:D,2,FALSE))</f>
        <v>(400) Portales / Web-App</v>
      </c>
      <c r="I620" s="20" t="str">
        <f>IF(LEN(G620)=0,"",VLOOKUP(G620,Issues!A:D,3,FALSE))</f>
        <v>Portal evaluado con éxito.</v>
      </c>
      <c r="J620" s="19" t="str">
        <f>IF(LEN(G620)=0,"",VLOOKUP(G620,Issues!A:D,4,FALSE))</f>
        <v>Prueba OK</v>
      </c>
      <c r="K620" s="21" t="str">
        <f t="shared" si="29"/>
        <v>OK</v>
      </c>
    </row>
    <row r="621" spans="1:11" x14ac:dyDescent="0.35">
      <c r="A621" s="23">
        <v>46061</v>
      </c>
      <c r="B621" s="19" t="str">
        <f t="shared" si="28"/>
        <v>febrero</v>
      </c>
      <c r="C621" s="19" t="str">
        <f t="shared" si="30"/>
        <v>2026</v>
      </c>
      <c r="D621" s="25" t="s">
        <v>206</v>
      </c>
      <c r="E621" s="25" t="s">
        <v>15</v>
      </c>
      <c r="F621" s="25" t="s">
        <v>175</v>
      </c>
      <c r="G621" s="24">
        <v>506</v>
      </c>
      <c r="H621" s="19" t="str">
        <f>IF(LEN(G621)=0,"",VLOOKUP(G621,Issues!A:D,2,FALSE))</f>
        <v>(500) Baja / Cancelacion</v>
      </c>
      <c r="I621" s="20" t="str">
        <f>IF(LEN(G621)=0,"",VLOOKUP(G621,Issues!A:D,3,FALSE))</f>
        <v>No funciona la baja desde ivr.</v>
      </c>
      <c r="J621" s="19" t="str">
        <f>IF(LEN(G621)=0,"",VLOOKUP(G621,Issues!A:D,4,FALSE))</f>
        <v>Critico</v>
      </c>
      <c r="K621" s="21" t="str">
        <f t="shared" si="29"/>
        <v>Issue</v>
      </c>
    </row>
    <row r="622" spans="1:11" x14ac:dyDescent="0.35">
      <c r="A622" s="23">
        <v>46042</v>
      </c>
      <c r="B622" s="19" t="str">
        <f t="shared" si="28"/>
        <v>enero</v>
      </c>
      <c r="C622" s="19" t="str">
        <f t="shared" si="30"/>
        <v>2026</v>
      </c>
      <c r="D622" s="25" t="s">
        <v>206</v>
      </c>
      <c r="E622" s="25" t="s">
        <v>26</v>
      </c>
      <c r="F622" s="25" t="s">
        <v>152</v>
      </c>
      <c r="G622" s="24">
        <v>100</v>
      </c>
      <c r="H622" s="19" t="str">
        <f>IF(LEN(G622)=0,"",VLOOKUP(G622,Issues!A:D,2,FALSE))</f>
        <v>(100)  Alta</v>
      </c>
      <c r="I622" s="20" t="str">
        <f>IF(LEN(G622)=0,"",VLOOKUP(G622,Issues!A:D,3,FALSE))</f>
        <v>Alta con éxito.</v>
      </c>
      <c r="J622" s="19" t="str">
        <f>IF(LEN(G622)=0,"",VLOOKUP(G622,Issues!A:D,4,FALSE))</f>
        <v>Prueba OK</v>
      </c>
      <c r="K622" s="21" t="str">
        <f t="shared" si="29"/>
        <v>OK</v>
      </c>
    </row>
    <row r="623" spans="1:11" x14ac:dyDescent="0.35">
      <c r="A623" s="23">
        <v>46133</v>
      </c>
      <c r="B623" s="19" t="str">
        <f t="shared" si="28"/>
        <v>abril</v>
      </c>
      <c r="C623" s="19" t="str">
        <f t="shared" si="30"/>
        <v>2026</v>
      </c>
      <c r="D623" s="25" t="s">
        <v>207</v>
      </c>
      <c r="E623" s="25" t="s">
        <v>23</v>
      </c>
      <c r="F623" s="25" t="s">
        <v>196</v>
      </c>
      <c r="G623" s="24">
        <v>200</v>
      </c>
      <c r="H623" s="19" t="str">
        <f>IF(LEN(G623)=0,"",VLOOKUP(G623,Issues!A:D,2,FALSE))</f>
        <v>(200) Contenidos</v>
      </c>
      <c r="I623" s="20" t="str">
        <f>IF(LEN(G623)=0,"",VLOOKUP(G623,Issues!A:D,3,FALSE))</f>
        <v>Contenidos recibido con éxito.</v>
      </c>
      <c r="J623" s="19" t="str">
        <f>IF(LEN(G623)=0,"",VLOOKUP(G623,Issues!A:D,4,FALSE))</f>
        <v>Prueba OK</v>
      </c>
      <c r="K623" s="21" t="str">
        <f t="shared" si="29"/>
        <v>OK</v>
      </c>
    </row>
    <row r="624" spans="1:11" x14ac:dyDescent="0.35">
      <c r="A624" s="23">
        <v>46125</v>
      </c>
      <c r="B624" s="19" t="str">
        <f t="shared" si="28"/>
        <v>abril</v>
      </c>
      <c r="C624" s="19" t="str">
        <f t="shared" si="30"/>
        <v>2026</v>
      </c>
      <c r="D624" s="25" t="s">
        <v>206</v>
      </c>
      <c r="E624" s="25" t="s">
        <v>24</v>
      </c>
      <c r="F624" s="25" t="s">
        <v>151</v>
      </c>
      <c r="G624" s="24">
        <v>304</v>
      </c>
      <c r="H624" s="19" t="str">
        <f>IF(LEN(G624)=0,"",VLOOKUP(G624,Issues!A:D,2,FALSE))</f>
        <v>(300) Cobros</v>
      </c>
      <c r="I624" s="20" t="str">
        <f>IF(LEN(G624)=0,"",VLOOKUP(G624,Issues!A:D,3,FALSE))</f>
        <v>Cobro valor diferente al autorizado.</v>
      </c>
      <c r="J624" s="19" t="str">
        <f>IF(LEN(G624)=0,"",VLOOKUP(G624,Issues!A:D,4,FALSE))</f>
        <v>Critico</v>
      </c>
      <c r="K624" s="21" t="str">
        <f t="shared" si="29"/>
        <v>Issue</v>
      </c>
    </row>
    <row r="625" spans="1:11" x14ac:dyDescent="0.35">
      <c r="A625" s="23">
        <v>46062</v>
      </c>
      <c r="B625" s="19" t="str">
        <f t="shared" si="28"/>
        <v>febrero</v>
      </c>
      <c r="C625" s="19" t="str">
        <f t="shared" si="30"/>
        <v>2026</v>
      </c>
      <c r="D625" s="25" t="s">
        <v>210</v>
      </c>
      <c r="E625" s="25" t="s">
        <v>14</v>
      </c>
      <c r="F625" s="25" t="s">
        <v>171</v>
      </c>
      <c r="G625" s="24">
        <v>210</v>
      </c>
      <c r="H625" s="19" t="str">
        <f>IF(LEN(G625)=0,"",VLOOKUP(G625,Issues!A:D,2,FALSE))</f>
        <v>(200) Contenidos</v>
      </c>
      <c r="I625" s="20" t="str">
        <f>IF(LEN(G625)=0,"",VLOOKUP(G625,Issues!A:D,3,FALSE))</f>
        <v>Contenido no apropiado - fuera de las politicas del operador.</v>
      </c>
      <c r="J625" s="19" t="str">
        <f>IF(LEN(G625)=0,"",VLOOKUP(G625,Issues!A:D,4,FALSE))</f>
        <v>Critico</v>
      </c>
      <c r="K625" s="21" t="str">
        <f t="shared" si="29"/>
        <v>Issue</v>
      </c>
    </row>
    <row r="626" spans="1:11" x14ac:dyDescent="0.35">
      <c r="A626" s="23">
        <v>46143</v>
      </c>
      <c r="B626" s="19" t="str">
        <f t="shared" si="28"/>
        <v>mayo</v>
      </c>
      <c r="C626" s="19" t="str">
        <f t="shared" si="30"/>
        <v>2026</v>
      </c>
      <c r="D626" s="25" t="s">
        <v>207</v>
      </c>
      <c r="E626" s="25" t="s">
        <v>12</v>
      </c>
      <c r="F626" s="25" t="s">
        <v>169</v>
      </c>
      <c r="G626" s="24">
        <v>508</v>
      </c>
      <c r="H626" s="19" t="str">
        <f>IF(LEN(G626)=0,"",VLOOKUP(G626,Issues!A:D,2,FALSE))</f>
        <v>(500) Baja / Cancelacion</v>
      </c>
      <c r="I626" s="20" t="str">
        <f>IF(LEN(G626)=0,"",VLOOKUP(G626,Issues!A:D,3,FALSE))</f>
        <v>No permite dar baja por no tener saldo.</v>
      </c>
      <c r="J626" s="19" t="str">
        <f>IF(LEN(G626)=0,"",VLOOKUP(G626,Issues!A:D,4,FALSE))</f>
        <v>Critico</v>
      </c>
      <c r="K626" s="21" t="str">
        <f t="shared" si="29"/>
        <v>Issue</v>
      </c>
    </row>
    <row r="627" spans="1:11" x14ac:dyDescent="0.35">
      <c r="A627" s="23">
        <v>46069</v>
      </c>
      <c r="B627" s="19" t="str">
        <f t="shared" si="28"/>
        <v>febrero</v>
      </c>
      <c r="C627" s="19" t="str">
        <f t="shared" si="30"/>
        <v>2026</v>
      </c>
      <c r="D627" s="25" t="s">
        <v>206</v>
      </c>
      <c r="E627" s="25" t="s">
        <v>19</v>
      </c>
      <c r="F627" s="25" t="s">
        <v>186</v>
      </c>
      <c r="G627" s="24">
        <v>300</v>
      </c>
      <c r="H627" s="19" t="str">
        <f>IF(LEN(G627)=0,"",VLOOKUP(G627,Issues!A:D,2,FALSE))</f>
        <v>(300) Cobros</v>
      </c>
      <c r="I627" s="20" t="str">
        <f>IF(LEN(G627)=0,"",VLOOKUP(G627,Issues!A:D,3,FALSE))</f>
        <v>Cobro en valor y forma correcto.</v>
      </c>
      <c r="J627" s="19" t="str">
        <f>IF(LEN(G627)=0,"",VLOOKUP(G627,Issues!A:D,4,FALSE))</f>
        <v>Prueba OK</v>
      </c>
      <c r="K627" s="21" t="str">
        <f t="shared" si="29"/>
        <v>OK</v>
      </c>
    </row>
    <row r="628" spans="1:11" x14ac:dyDescent="0.35">
      <c r="A628" s="23">
        <v>46040</v>
      </c>
      <c r="B628" s="19" t="str">
        <f t="shared" si="28"/>
        <v>enero</v>
      </c>
      <c r="C628" s="19" t="str">
        <f t="shared" si="30"/>
        <v>2026</v>
      </c>
      <c r="D628" s="25" t="s">
        <v>208</v>
      </c>
      <c r="E628" s="25" t="s">
        <v>26</v>
      </c>
      <c r="F628" s="25" t="s">
        <v>160</v>
      </c>
      <c r="G628" s="24">
        <v>100</v>
      </c>
      <c r="H628" s="19" t="str">
        <f>IF(LEN(G628)=0,"",VLOOKUP(G628,Issues!A:D,2,FALSE))</f>
        <v>(100)  Alta</v>
      </c>
      <c r="I628" s="20" t="str">
        <f>IF(LEN(G628)=0,"",VLOOKUP(G628,Issues!A:D,3,FALSE))</f>
        <v>Alta con éxito.</v>
      </c>
      <c r="J628" s="19" t="str">
        <f>IF(LEN(G628)=0,"",VLOOKUP(G628,Issues!A:D,4,FALSE))</f>
        <v>Prueba OK</v>
      </c>
      <c r="K628" s="21" t="str">
        <f t="shared" si="29"/>
        <v>OK</v>
      </c>
    </row>
    <row r="629" spans="1:11" x14ac:dyDescent="0.35">
      <c r="A629" s="23">
        <v>46079</v>
      </c>
      <c r="B629" s="19" t="str">
        <f t="shared" si="28"/>
        <v>febrero</v>
      </c>
      <c r="C629" s="19" t="str">
        <f t="shared" si="30"/>
        <v>2026</v>
      </c>
      <c r="D629" s="25" t="s">
        <v>207</v>
      </c>
      <c r="E629" s="25" t="s">
        <v>15</v>
      </c>
      <c r="F629" s="25" t="s">
        <v>174</v>
      </c>
      <c r="G629" s="24">
        <v>800</v>
      </c>
      <c r="H629" s="19" t="str">
        <f>IF(LEN(G629)=0,"",VLOOKUP(G629,Issues!A:D,2,FALSE))</f>
        <v>(800) Politicas especiales operadores</v>
      </c>
      <c r="I629" s="20" t="str">
        <f>IF(LEN(G629)=0,"",VLOOKUP(G629,Issues!A:D,3,FALSE))</f>
        <v>Politicas de los operadores cumplidas.</v>
      </c>
      <c r="J629" s="19" t="str">
        <f>IF(LEN(G629)=0,"",VLOOKUP(G629,Issues!A:D,4,FALSE))</f>
        <v>Prueba OK</v>
      </c>
      <c r="K629" s="21" t="str">
        <f t="shared" si="29"/>
        <v>OK</v>
      </c>
    </row>
    <row r="630" spans="1:11" x14ac:dyDescent="0.35">
      <c r="A630" s="23">
        <v>46085</v>
      </c>
      <c r="B630" s="19" t="str">
        <f t="shared" si="28"/>
        <v>marzo</v>
      </c>
      <c r="C630" s="19" t="str">
        <f t="shared" si="30"/>
        <v>2026</v>
      </c>
      <c r="D630" s="25" t="s">
        <v>207</v>
      </c>
      <c r="E630" s="25" t="s">
        <v>12</v>
      </c>
      <c r="F630" s="25" t="s">
        <v>168</v>
      </c>
      <c r="G630" s="24">
        <v>400</v>
      </c>
      <c r="H630" s="19" t="str">
        <f>IF(LEN(G630)=0,"",VLOOKUP(G630,Issues!A:D,2,FALSE))</f>
        <v>(400) Portales / Web-App</v>
      </c>
      <c r="I630" s="20" t="str">
        <f>IF(LEN(G630)=0,"",VLOOKUP(G630,Issues!A:D,3,FALSE))</f>
        <v>Portal evaluado con éxito.</v>
      </c>
      <c r="J630" s="19" t="str">
        <f>IF(LEN(G630)=0,"",VLOOKUP(G630,Issues!A:D,4,FALSE))</f>
        <v>Prueba OK</v>
      </c>
      <c r="K630" s="21" t="str">
        <f t="shared" si="29"/>
        <v>OK</v>
      </c>
    </row>
    <row r="631" spans="1:11" x14ac:dyDescent="0.35">
      <c r="A631" s="23">
        <v>46065</v>
      </c>
      <c r="B631" s="19" t="str">
        <f t="shared" si="28"/>
        <v>febrero</v>
      </c>
      <c r="C631" s="19" t="str">
        <f t="shared" si="30"/>
        <v>2026</v>
      </c>
      <c r="D631" s="25" t="s">
        <v>208</v>
      </c>
      <c r="E631" s="25" t="s">
        <v>17</v>
      </c>
      <c r="F631" s="25" t="s">
        <v>180</v>
      </c>
      <c r="G631" s="24">
        <v>700</v>
      </c>
      <c r="H631" s="19" t="str">
        <f>IF(LEN(G631)=0,"",VLOOKUP(G631,Issues!A:D,2,FALSE))</f>
        <v>(700) Interaccion MO/MT (On Demand)</v>
      </c>
      <c r="I631" s="20" t="str">
        <f>IF(LEN(G631)=0,"",VLOOKUP(G631,Issues!A:D,3,FALSE))</f>
        <v>Flujo MO/MT con éxito.</v>
      </c>
      <c r="J631" s="19" t="str">
        <f>IF(LEN(G631)=0,"",VLOOKUP(G631,Issues!A:D,4,FALSE))</f>
        <v>Prueba OK</v>
      </c>
      <c r="K631" s="21" t="str">
        <f t="shared" si="29"/>
        <v>OK</v>
      </c>
    </row>
    <row r="632" spans="1:11" x14ac:dyDescent="0.35">
      <c r="A632" s="23">
        <v>46050</v>
      </c>
      <c r="B632" s="19" t="str">
        <f t="shared" si="28"/>
        <v>enero</v>
      </c>
      <c r="C632" s="19" t="str">
        <f t="shared" si="30"/>
        <v>2026</v>
      </c>
      <c r="D632" s="25" t="s">
        <v>206</v>
      </c>
      <c r="E632" s="25" t="s">
        <v>19</v>
      </c>
      <c r="F632" s="25" t="s">
        <v>185</v>
      </c>
      <c r="G632" s="24">
        <v>800</v>
      </c>
      <c r="H632" s="19" t="str">
        <f>IF(LEN(G632)=0,"",VLOOKUP(G632,Issues!A:D,2,FALSE))</f>
        <v>(800) Politicas especiales operadores</v>
      </c>
      <c r="I632" s="20" t="str">
        <f>IF(LEN(G632)=0,"",VLOOKUP(G632,Issues!A:D,3,FALSE))</f>
        <v>Politicas de los operadores cumplidas.</v>
      </c>
      <c r="J632" s="19" t="str">
        <f>IF(LEN(G632)=0,"",VLOOKUP(G632,Issues!A:D,4,FALSE))</f>
        <v>Prueba OK</v>
      </c>
      <c r="K632" s="21" t="str">
        <f t="shared" si="29"/>
        <v>OK</v>
      </c>
    </row>
    <row r="633" spans="1:11" x14ac:dyDescent="0.35">
      <c r="A633" s="23">
        <v>46118</v>
      </c>
      <c r="B633" s="19" t="str">
        <f t="shared" si="28"/>
        <v>abril</v>
      </c>
      <c r="C633" s="19" t="str">
        <f t="shared" si="30"/>
        <v>2026</v>
      </c>
      <c r="D633" s="25" t="s">
        <v>206</v>
      </c>
      <c r="E633" s="25" t="s">
        <v>11</v>
      </c>
      <c r="F633" s="25" t="s">
        <v>165</v>
      </c>
      <c r="G633" s="24">
        <v>300</v>
      </c>
      <c r="H633" s="19" t="str">
        <f>IF(LEN(G633)=0,"",VLOOKUP(G633,Issues!A:D,2,FALSE))</f>
        <v>(300) Cobros</v>
      </c>
      <c r="I633" s="20" t="str">
        <f>IF(LEN(G633)=0,"",VLOOKUP(G633,Issues!A:D,3,FALSE))</f>
        <v>Cobro en valor y forma correcto.</v>
      </c>
      <c r="J633" s="19" t="str">
        <f>IF(LEN(G633)=0,"",VLOOKUP(G633,Issues!A:D,4,FALSE))</f>
        <v>Prueba OK</v>
      </c>
      <c r="K633" s="21" t="str">
        <f t="shared" si="29"/>
        <v>OK</v>
      </c>
    </row>
    <row r="634" spans="1:11" x14ac:dyDescent="0.35">
      <c r="A634" s="23">
        <v>46155</v>
      </c>
      <c r="B634" s="19" t="str">
        <f t="shared" si="28"/>
        <v>mayo</v>
      </c>
      <c r="C634" s="19" t="str">
        <f t="shared" si="30"/>
        <v>2026</v>
      </c>
      <c r="D634" s="25" t="s">
        <v>207</v>
      </c>
      <c r="E634" s="25" t="s">
        <v>11</v>
      </c>
      <c r="F634" s="25" t="s">
        <v>164</v>
      </c>
      <c r="G634" s="24">
        <v>405</v>
      </c>
      <c r="H634" s="19" t="str">
        <f>IF(LEN(G634)=0,"",VLOOKUP(G634,Issues!A:D,2,FALSE))</f>
        <v>(400) Portales / Web-App</v>
      </c>
      <c r="I634" s="20" t="str">
        <f>IF(LEN(G634)=0,"",VLOOKUP(G634,Issues!A:D,3,FALSE))</f>
        <v>Problemas de estructura o textos del portal o web-app.</v>
      </c>
      <c r="J634" s="19" t="str">
        <f>IF(LEN(G634)=0,"",VLOOKUP(G634,Issues!A:D,4,FALSE))</f>
        <v>Medio</v>
      </c>
      <c r="K634" s="21" t="str">
        <f t="shared" si="29"/>
        <v>Issue</v>
      </c>
    </row>
    <row r="635" spans="1:11" x14ac:dyDescent="0.35">
      <c r="A635" s="23">
        <v>46076</v>
      </c>
      <c r="B635" s="19" t="str">
        <f t="shared" si="28"/>
        <v>febrero</v>
      </c>
      <c r="C635" s="19" t="str">
        <f t="shared" si="30"/>
        <v>2026</v>
      </c>
      <c r="D635" s="25" t="s">
        <v>207</v>
      </c>
      <c r="E635" s="25" t="s">
        <v>15</v>
      </c>
      <c r="F635" s="25" t="s">
        <v>175</v>
      </c>
      <c r="G635" s="24">
        <v>800</v>
      </c>
      <c r="H635" s="19" t="str">
        <f>IF(LEN(G635)=0,"",VLOOKUP(G635,Issues!A:D,2,FALSE))</f>
        <v>(800) Politicas especiales operadores</v>
      </c>
      <c r="I635" s="20" t="str">
        <f>IF(LEN(G635)=0,"",VLOOKUP(G635,Issues!A:D,3,FALSE))</f>
        <v>Politicas de los operadores cumplidas.</v>
      </c>
      <c r="J635" s="19" t="str">
        <f>IF(LEN(G635)=0,"",VLOOKUP(G635,Issues!A:D,4,FALSE))</f>
        <v>Prueba OK</v>
      </c>
      <c r="K635" s="21" t="str">
        <f t="shared" si="29"/>
        <v>OK</v>
      </c>
    </row>
    <row r="636" spans="1:11" x14ac:dyDescent="0.35">
      <c r="A636" s="23">
        <v>46120</v>
      </c>
      <c r="B636" s="19" t="str">
        <f t="shared" si="28"/>
        <v>abril</v>
      </c>
      <c r="C636" s="19" t="str">
        <f t="shared" si="30"/>
        <v>2026</v>
      </c>
      <c r="D636" s="25" t="s">
        <v>207</v>
      </c>
      <c r="E636" s="25" t="s">
        <v>12</v>
      </c>
      <c r="F636" s="25" t="s">
        <v>167</v>
      </c>
      <c r="G636" s="24">
        <v>200</v>
      </c>
      <c r="H636" s="19" t="str">
        <f>IF(LEN(G636)=0,"",VLOOKUP(G636,Issues!A:D,2,FALSE))</f>
        <v>(200) Contenidos</v>
      </c>
      <c r="I636" s="20" t="str">
        <f>IF(LEN(G636)=0,"",VLOOKUP(G636,Issues!A:D,3,FALSE))</f>
        <v>Contenidos recibido con éxito.</v>
      </c>
      <c r="J636" s="19" t="str">
        <f>IF(LEN(G636)=0,"",VLOOKUP(G636,Issues!A:D,4,FALSE))</f>
        <v>Prueba OK</v>
      </c>
      <c r="K636" s="21" t="str">
        <f t="shared" si="29"/>
        <v>OK</v>
      </c>
    </row>
    <row r="637" spans="1:11" x14ac:dyDescent="0.35">
      <c r="A637" s="23">
        <v>46072</v>
      </c>
      <c r="B637" s="19" t="str">
        <f t="shared" si="28"/>
        <v>febrero</v>
      </c>
      <c r="C637" s="19" t="str">
        <f t="shared" si="30"/>
        <v>2026</v>
      </c>
      <c r="D637" s="25" t="s">
        <v>208</v>
      </c>
      <c r="E637" s="25" t="s">
        <v>18</v>
      </c>
      <c r="F637" s="25" t="s">
        <v>184</v>
      </c>
      <c r="G637" s="24">
        <v>200</v>
      </c>
      <c r="H637" s="19" t="str">
        <f>IF(LEN(G637)=0,"",VLOOKUP(G637,Issues!A:D,2,FALSE))</f>
        <v>(200) Contenidos</v>
      </c>
      <c r="I637" s="20" t="str">
        <f>IF(LEN(G637)=0,"",VLOOKUP(G637,Issues!A:D,3,FALSE))</f>
        <v>Contenidos recibido con éxito.</v>
      </c>
      <c r="J637" s="19" t="str">
        <f>IF(LEN(G637)=0,"",VLOOKUP(G637,Issues!A:D,4,FALSE))</f>
        <v>Prueba OK</v>
      </c>
      <c r="K637" s="21" t="str">
        <f t="shared" si="29"/>
        <v>OK</v>
      </c>
    </row>
    <row r="638" spans="1:11" x14ac:dyDescent="0.35">
      <c r="A638" s="23">
        <v>46128</v>
      </c>
      <c r="B638" s="19" t="str">
        <f t="shared" si="28"/>
        <v>abril</v>
      </c>
      <c r="C638" s="19" t="str">
        <f t="shared" si="30"/>
        <v>2026</v>
      </c>
      <c r="D638" s="25" t="s">
        <v>206</v>
      </c>
      <c r="E638" s="25" t="s">
        <v>24</v>
      </c>
      <c r="F638" s="25" t="s">
        <v>155</v>
      </c>
      <c r="G638" s="24">
        <v>400</v>
      </c>
      <c r="H638" s="19" t="str">
        <f>IF(LEN(G638)=0,"",VLOOKUP(G638,Issues!A:D,2,FALSE))</f>
        <v>(400) Portales / Web-App</v>
      </c>
      <c r="I638" s="20" t="str">
        <f>IF(LEN(G638)=0,"",VLOOKUP(G638,Issues!A:D,3,FALSE))</f>
        <v>Portal evaluado con éxito.</v>
      </c>
      <c r="J638" s="19" t="str">
        <f>IF(LEN(G638)=0,"",VLOOKUP(G638,Issues!A:D,4,FALSE))</f>
        <v>Prueba OK</v>
      </c>
      <c r="K638" s="21" t="str">
        <f t="shared" si="29"/>
        <v>OK</v>
      </c>
    </row>
    <row r="639" spans="1:11" x14ac:dyDescent="0.35">
      <c r="A639" s="23">
        <v>46080</v>
      </c>
      <c r="B639" s="19" t="str">
        <f t="shared" si="28"/>
        <v>febrero</v>
      </c>
      <c r="C639" s="19" t="str">
        <f t="shared" si="30"/>
        <v>2026</v>
      </c>
      <c r="D639" s="25" t="s">
        <v>204</v>
      </c>
      <c r="E639" s="25" t="s">
        <v>20</v>
      </c>
      <c r="F639" s="25" t="s">
        <v>188</v>
      </c>
      <c r="G639" s="24">
        <v>300</v>
      </c>
      <c r="H639" s="19" t="str">
        <f>IF(LEN(G639)=0,"",VLOOKUP(G639,Issues!A:D,2,FALSE))</f>
        <v>(300) Cobros</v>
      </c>
      <c r="I639" s="20" t="str">
        <f>IF(LEN(G639)=0,"",VLOOKUP(G639,Issues!A:D,3,FALSE))</f>
        <v>Cobro en valor y forma correcto.</v>
      </c>
      <c r="J639" s="19" t="str">
        <f>IF(LEN(G639)=0,"",VLOOKUP(G639,Issues!A:D,4,FALSE))</f>
        <v>Prueba OK</v>
      </c>
      <c r="K639" s="21" t="str">
        <f t="shared" si="29"/>
        <v>OK</v>
      </c>
    </row>
    <row r="640" spans="1:11" x14ac:dyDescent="0.35">
      <c r="A640" s="23">
        <v>46035</v>
      </c>
      <c r="B640" s="19" t="str">
        <f t="shared" si="28"/>
        <v>enero</v>
      </c>
      <c r="C640" s="19" t="str">
        <f t="shared" si="30"/>
        <v>2026</v>
      </c>
      <c r="D640" s="25" t="s">
        <v>207</v>
      </c>
      <c r="E640" s="25" t="s">
        <v>26</v>
      </c>
      <c r="F640" s="25" t="s">
        <v>152</v>
      </c>
      <c r="G640" s="24">
        <v>400</v>
      </c>
      <c r="H640" s="19" t="str">
        <f>IF(LEN(G640)=0,"",VLOOKUP(G640,Issues!A:D,2,FALSE))</f>
        <v>(400) Portales / Web-App</v>
      </c>
      <c r="I640" s="20" t="str">
        <f>IF(LEN(G640)=0,"",VLOOKUP(G640,Issues!A:D,3,FALSE))</f>
        <v>Portal evaluado con éxito.</v>
      </c>
      <c r="J640" s="19" t="str">
        <f>IF(LEN(G640)=0,"",VLOOKUP(G640,Issues!A:D,4,FALSE))</f>
        <v>Prueba OK</v>
      </c>
      <c r="K640" s="21" t="str">
        <f t="shared" si="29"/>
        <v>OK</v>
      </c>
    </row>
    <row r="641" spans="1:11" x14ac:dyDescent="0.35">
      <c r="A641" s="23">
        <v>46121</v>
      </c>
      <c r="B641" s="19" t="str">
        <f t="shared" si="28"/>
        <v>abril</v>
      </c>
      <c r="C641" s="19" t="str">
        <f t="shared" si="30"/>
        <v>2026</v>
      </c>
      <c r="D641" s="25" t="s">
        <v>206</v>
      </c>
      <c r="E641" s="25" t="s">
        <v>20</v>
      </c>
      <c r="F641" s="25" t="s">
        <v>189</v>
      </c>
      <c r="G641" s="24">
        <v>704</v>
      </c>
      <c r="H641" s="19" t="str">
        <f>IF(LEN(G641)=0,"",VLOOKUP(G641,Issues!A:D,2,FALSE))</f>
        <v>(700) Interaccion MO/MT (On Demand)</v>
      </c>
      <c r="I641" s="20" t="str">
        <f>IF(LEN(G641)=0,"",VLOOKUP(G641,Issues!A:D,3,FALSE))</f>
        <v>Fallas en puntajes, trivias, creditos, etc.</v>
      </c>
      <c r="J641" s="19" t="str">
        <f>IF(LEN(G641)=0,"",VLOOKUP(G641,Issues!A:D,4,FALSE))</f>
        <v>Critico</v>
      </c>
      <c r="K641" s="21" t="str">
        <f t="shared" si="29"/>
        <v>Issue</v>
      </c>
    </row>
    <row r="642" spans="1:11" x14ac:dyDescent="0.35">
      <c r="A642" s="23">
        <v>46089</v>
      </c>
      <c r="B642" s="19" t="str">
        <f t="shared" si="28"/>
        <v>marzo</v>
      </c>
      <c r="C642" s="19" t="str">
        <f t="shared" si="30"/>
        <v>2026</v>
      </c>
      <c r="D642" s="25" t="s">
        <v>207</v>
      </c>
      <c r="E642" s="25" t="s">
        <v>12</v>
      </c>
      <c r="F642" s="25" t="s">
        <v>167</v>
      </c>
      <c r="G642" s="24">
        <v>502</v>
      </c>
      <c r="H642" s="19" t="str">
        <f>IF(LEN(G642)=0,"",VLOOKUP(G642,Issues!A:D,2,FALSE))</f>
        <v>(500) Baja / Cancelacion</v>
      </c>
      <c r="I642" s="20" t="str">
        <f>IF(LEN(G642)=0,"",VLOOKUP(G642,Issues!A:D,3,FALSE))</f>
        <v>No entrega el mt de baja.</v>
      </c>
      <c r="J642" s="19" t="str">
        <f>IF(LEN(G642)=0,"",VLOOKUP(G642,Issues!A:D,4,FALSE))</f>
        <v>Critico</v>
      </c>
      <c r="K642" s="21" t="str">
        <f t="shared" si="29"/>
        <v>Issue</v>
      </c>
    </row>
    <row r="643" spans="1:11" x14ac:dyDescent="0.35">
      <c r="A643" s="23">
        <v>46023</v>
      </c>
      <c r="B643" s="19" t="str">
        <f t="shared" ref="B643:B706" si="31">IF(LEN(A643)=0,"",TEXT(A643,"mmmm"))</f>
        <v>enero</v>
      </c>
      <c r="C643" s="19" t="str">
        <f t="shared" si="30"/>
        <v>2026</v>
      </c>
      <c r="D643" s="25" t="s">
        <v>204</v>
      </c>
      <c r="E643" s="25" t="s">
        <v>23</v>
      </c>
      <c r="F643" s="25" t="s">
        <v>196</v>
      </c>
      <c r="G643" s="24">
        <v>802</v>
      </c>
      <c r="H643" s="19" t="str">
        <f>IF(LEN(G643)=0,"",VLOOKUP(G643,Issues!A:D,2,FALSE))</f>
        <v>(800) Politicas especiales operadores</v>
      </c>
      <c r="I643" s="20" t="str">
        <f>IF(LEN(G643)=0,"",VLOOKUP(G643,Issues!A:D,3,FALSE))</f>
        <v>Falla en colilla legal con info del cp.</v>
      </c>
      <c r="J643" s="19" t="str">
        <f>IF(LEN(G643)=0,"",VLOOKUP(G643,Issues!A:D,4,FALSE))</f>
        <v>Critico</v>
      </c>
      <c r="K643" s="21" t="str">
        <f t="shared" ref="K643:K706" si="32">IF(LEN(G643)=0,"",IF(OR(J643="critico",J643="Medio",J643="Bajo"),"Issue",IF(J643="Prueba OK","OK","")))</f>
        <v>Issue</v>
      </c>
    </row>
    <row r="644" spans="1:11" x14ac:dyDescent="0.35">
      <c r="A644" s="23">
        <v>46052</v>
      </c>
      <c r="B644" s="19" t="str">
        <f t="shared" si="31"/>
        <v>enero</v>
      </c>
      <c r="C644" s="19" t="str">
        <f t="shared" si="30"/>
        <v>2026</v>
      </c>
      <c r="D644" s="25" t="s">
        <v>207</v>
      </c>
      <c r="E644" s="25" t="s">
        <v>10</v>
      </c>
      <c r="F644" s="25" t="s">
        <v>163</v>
      </c>
      <c r="G644" s="24">
        <v>508</v>
      </c>
      <c r="H644" s="19" t="str">
        <f>IF(LEN(G644)=0,"",VLOOKUP(G644,Issues!A:D,2,FALSE))</f>
        <v>(500) Baja / Cancelacion</v>
      </c>
      <c r="I644" s="20" t="str">
        <f>IF(LEN(G644)=0,"",VLOOKUP(G644,Issues!A:D,3,FALSE))</f>
        <v>No permite dar baja por no tener saldo.</v>
      </c>
      <c r="J644" s="19" t="str">
        <f>IF(LEN(G644)=0,"",VLOOKUP(G644,Issues!A:D,4,FALSE))</f>
        <v>Critico</v>
      </c>
      <c r="K644" s="21" t="str">
        <f t="shared" si="32"/>
        <v>Issue</v>
      </c>
    </row>
    <row r="645" spans="1:11" x14ac:dyDescent="0.35">
      <c r="A645" s="23">
        <v>46086</v>
      </c>
      <c r="B645" s="19" t="str">
        <f t="shared" si="31"/>
        <v>marzo</v>
      </c>
      <c r="C645" s="19" t="str">
        <f t="shared" si="30"/>
        <v>2026</v>
      </c>
      <c r="D645" s="25" t="s">
        <v>206</v>
      </c>
      <c r="E645" s="25" t="s">
        <v>23</v>
      </c>
      <c r="F645" s="25" t="s">
        <v>194</v>
      </c>
      <c r="G645" s="24">
        <v>500</v>
      </c>
      <c r="H645" s="19" t="str">
        <f>IF(LEN(G645)=0,"",VLOOKUP(G645,Issues!A:D,2,FALSE))</f>
        <v>(500) Baja / Cancelacion</v>
      </c>
      <c r="I645" s="20" t="str">
        <f>IF(LEN(G645)=0,"",VLOOKUP(G645,Issues!A:D,3,FALSE))</f>
        <v>Baja con éxito.</v>
      </c>
      <c r="J645" s="19" t="str">
        <f>IF(LEN(G645)=0,"",VLOOKUP(G645,Issues!A:D,4,FALSE))</f>
        <v>Prueba OK</v>
      </c>
      <c r="K645" s="21" t="str">
        <f t="shared" si="32"/>
        <v>OK</v>
      </c>
    </row>
    <row r="646" spans="1:11" x14ac:dyDescent="0.35">
      <c r="A646" s="23">
        <v>46049</v>
      </c>
      <c r="B646" s="19" t="str">
        <f t="shared" si="31"/>
        <v>enero</v>
      </c>
      <c r="C646" s="19" t="str">
        <f t="shared" si="30"/>
        <v>2026</v>
      </c>
      <c r="D646" s="25" t="s">
        <v>207</v>
      </c>
      <c r="E646" s="25" t="s">
        <v>12</v>
      </c>
      <c r="F646" s="25" t="s">
        <v>169</v>
      </c>
      <c r="G646" s="24">
        <v>200</v>
      </c>
      <c r="H646" s="19" t="str">
        <f>IF(LEN(G646)=0,"",VLOOKUP(G646,Issues!A:D,2,FALSE))</f>
        <v>(200) Contenidos</v>
      </c>
      <c r="I646" s="20" t="str">
        <f>IF(LEN(G646)=0,"",VLOOKUP(G646,Issues!A:D,3,FALSE))</f>
        <v>Contenidos recibido con éxito.</v>
      </c>
      <c r="J646" s="19" t="str">
        <f>IF(LEN(G646)=0,"",VLOOKUP(G646,Issues!A:D,4,FALSE))</f>
        <v>Prueba OK</v>
      </c>
      <c r="K646" s="21" t="str">
        <f t="shared" si="32"/>
        <v>OK</v>
      </c>
    </row>
    <row r="647" spans="1:11" x14ac:dyDescent="0.35">
      <c r="A647" s="23">
        <v>46058</v>
      </c>
      <c r="B647" s="19" t="str">
        <f t="shared" si="31"/>
        <v>febrero</v>
      </c>
      <c r="C647" s="19" t="str">
        <f t="shared" si="30"/>
        <v>2026</v>
      </c>
      <c r="D647" s="25" t="s">
        <v>208</v>
      </c>
      <c r="E647" s="25" t="s">
        <v>17</v>
      </c>
      <c r="F647" s="25" t="s">
        <v>181</v>
      </c>
      <c r="G647" s="24">
        <v>109</v>
      </c>
      <c r="H647" s="19" t="str">
        <f>IF(LEN(G647)=0,"",VLOOKUP(G647,Issues!A:D,2,FALSE))</f>
        <v>(100)  Alta</v>
      </c>
      <c r="I647" s="20" t="str">
        <f>IF(LEN(G647)=0,"",VLOOKUP(G647,Issues!A:D,3,FALSE))</f>
        <v>Fallas en estructura o diseño de la lp.</v>
      </c>
      <c r="J647" s="19" t="str">
        <f>IF(LEN(G647)=0,"",VLOOKUP(G647,Issues!A:D,4,FALSE))</f>
        <v>Medio</v>
      </c>
      <c r="K647" s="21" t="str">
        <f t="shared" si="32"/>
        <v>Issue</v>
      </c>
    </row>
    <row r="648" spans="1:11" x14ac:dyDescent="0.35">
      <c r="A648" s="23">
        <v>46137</v>
      </c>
      <c r="B648" s="19" t="str">
        <f t="shared" si="31"/>
        <v>abril</v>
      </c>
      <c r="C648" s="19" t="str">
        <f t="shared" si="30"/>
        <v>2026</v>
      </c>
      <c r="D648" s="25" t="s">
        <v>207</v>
      </c>
      <c r="E648" s="25" t="s">
        <v>13</v>
      </c>
      <c r="F648" s="25" t="s">
        <v>157</v>
      </c>
      <c r="G648" s="24">
        <v>112</v>
      </c>
      <c r="H648" s="19" t="str">
        <f>IF(LEN(G648)=0,"",VLOOKUP(G648,Issues!A:D,2,FALSE))</f>
        <v>(100)  Alta</v>
      </c>
      <c r="I648" s="20" t="str">
        <f>IF(LEN(G648)=0,"",VLOOKUP(G648,Issues!A:D,3,FALSE))</f>
        <v>Falla en alta a traves de tienda.</v>
      </c>
      <c r="J648" s="19" t="str">
        <f>IF(LEN(G648)=0,"",VLOOKUP(G648,Issues!A:D,4,FALSE))</f>
        <v>Critico</v>
      </c>
      <c r="K648" s="21" t="str">
        <f t="shared" si="32"/>
        <v>Issue</v>
      </c>
    </row>
    <row r="649" spans="1:11" x14ac:dyDescent="0.35">
      <c r="A649" s="23">
        <v>46105</v>
      </c>
      <c r="B649" s="19" t="str">
        <f t="shared" si="31"/>
        <v>marzo</v>
      </c>
      <c r="C649" s="19" t="str">
        <f t="shared" si="30"/>
        <v>2026</v>
      </c>
      <c r="D649" s="25" t="s">
        <v>207</v>
      </c>
      <c r="E649" s="25" t="s">
        <v>11</v>
      </c>
      <c r="F649" s="25" t="s">
        <v>166</v>
      </c>
      <c r="G649" s="24">
        <v>409</v>
      </c>
      <c r="H649" s="19" t="str">
        <f>IF(LEN(G649)=0,"",VLOOKUP(G649,Issues!A:D,2,FALSE))</f>
        <v>(400) Portales / Web-App</v>
      </c>
      <c r="I649" s="20" t="str">
        <f>IF(LEN(G649)=0,"",VLOOKUP(G649,Issues!A:D,3,FALSE))</f>
        <v>409 no cumple con caracteristicas de diseño responsive.</v>
      </c>
      <c r="J649" s="19" t="str">
        <f>IF(LEN(G649)=0,"",VLOOKUP(G649,Issues!A:D,4,FALSE))</f>
        <v>Critico</v>
      </c>
      <c r="K649" s="21" t="str">
        <f t="shared" si="32"/>
        <v>Issue</v>
      </c>
    </row>
    <row r="650" spans="1:11" x14ac:dyDescent="0.35">
      <c r="A650" s="23">
        <v>46152</v>
      </c>
      <c r="B650" s="19" t="str">
        <f t="shared" si="31"/>
        <v>mayo</v>
      </c>
      <c r="C650" s="19" t="str">
        <f t="shared" si="30"/>
        <v>2026</v>
      </c>
      <c r="D650" s="25" t="s">
        <v>208</v>
      </c>
      <c r="E650" s="25" t="s">
        <v>20</v>
      </c>
      <c r="F650" s="25" t="s">
        <v>188</v>
      </c>
      <c r="G650" s="24">
        <v>300</v>
      </c>
      <c r="H650" s="19" t="str">
        <f>IF(LEN(G650)=0,"",VLOOKUP(G650,Issues!A:D,2,FALSE))</f>
        <v>(300) Cobros</v>
      </c>
      <c r="I650" s="20" t="str">
        <f>IF(LEN(G650)=0,"",VLOOKUP(G650,Issues!A:D,3,FALSE))</f>
        <v>Cobro en valor y forma correcto.</v>
      </c>
      <c r="J650" s="19" t="str">
        <f>IF(LEN(G650)=0,"",VLOOKUP(G650,Issues!A:D,4,FALSE))</f>
        <v>Prueba OK</v>
      </c>
      <c r="K650" s="21" t="str">
        <f t="shared" si="32"/>
        <v>OK</v>
      </c>
    </row>
    <row r="651" spans="1:11" x14ac:dyDescent="0.35">
      <c r="A651" s="23">
        <v>46049</v>
      </c>
      <c r="B651" s="19" t="str">
        <f t="shared" si="31"/>
        <v>enero</v>
      </c>
      <c r="C651" s="19" t="str">
        <f t="shared" si="30"/>
        <v>2026</v>
      </c>
      <c r="D651" s="25" t="s">
        <v>207</v>
      </c>
      <c r="E651" s="25" t="s">
        <v>19</v>
      </c>
      <c r="F651" s="25" t="s">
        <v>185</v>
      </c>
      <c r="G651" s="24">
        <v>303</v>
      </c>
      <c r="H651" s="19" t="str">
        <f>IF(LEN(G651)=0,"",VLOOKUP(G651,Issues!A:D,2,FALSE))</f>
        <v>(300) Cobros</v>
      </c>
      <c r="I651" s="20" t="str">
        <f>IF(LEN(G651)=0,"",VLOOKUP(G651,Issues!A:D,3,FALSE))</f>
        <v>Llego contenido (no hubo cobro).</v>
      </c>
      <c r="J651" s="19" t="str">
        <f>IF(LEN(G651)=0,"",VLOOKUP(G651,Issues!A:D,4,FALSE))</f>
        <v>Critico</v>
      </c>
      <c r="K651" s="21" t="str">
        <f t="shared" si="32"/>
        <v>Issue</v>
      </c>
    </row>
    <row r="652" spans="1:11" x14ac:dyDescent="0.35">
      <c r="A652" s="23">
        <v>46134</v>
      </c>
      <c r="B652" s="19" t="str">
        <f t="shared" si="31"/>
        <v>abril</v>
      </c>
      <c r="C652" s="19" t="str">
        <f t="shared" si="30"/>
        <v>2026</v>
      </c>
      <c r="D652" s="25" t="s">
        <v>207</v>
      </c>
      <c r="E652" s="25" t="s">
        <v>20</v>
      </c>
      <c r="F652" s="25" t="s">
        <v>189</v>
      </c>
      <c r="G652" s="24">
        <v>306</v>
      </c>
      <c r="H652" s="19" t="str">
        <f>IF(LEN(G652)=0,"",VLOOKUP(G652,Issues!A:D,2,FALSE))</f>
        <v>(300) Cobros</v>
      </c>
      <c r="I652" s="20" t="str">
        <f>IF(LEN(G652)=0,"",VLOOKUP(G652,Issues!A:D,3,FALSE))</f>
        <v>Inconsistencias en la recurrencia del cobro.</v>
      </c>
      <c r="J652" s="19" t="str">
        <f>IF(LEN(G652)=0,"",VLOOKUP(G652,Issues!A:D,4,FALSE))</f>
        <v>Critico</v>
      </c>
      <c r="K652" s="21" t="str">
        <f t="shared" si="32"/>
        <v>Issue</v>
      </c>
    </row>
    <row r="653" spans="1:11" x14ac:dyDescent="0.35">
      <c r="A653" s="23">
        <v>46065</v>
      </c>
      <c r="B653" s="19" t="str">
        <f t="shared" si="31"/>
        <v>febrero</v>
      </c>
      <c r="C653" s="19" t="str">
        <f t="shared" si="30"/>
        <v>2026</v>
      </c>
      <c r="D653" s="25" t="s">
        <v>207</v>
      </c>
      <c r="E653" s="25" t="s">
        <v>16</v>
      </c>
      <c r="F653" s="25" t="s">
        <v>178</v>
      </c>
      <c r="G653" s="24">
        <v>704</v>
      </c>
      <c r="H653" s="19" t="str">
        <f>IF(LEN(G653)=0,"",VLOOKUP(G653,Issues!A:D,2,FALSE))</f>
        <v>(700) Interaccion MO/MT (On Demand)</v>
      </c>
      <c r="I653" s="20" t="str">
        <f>IF(LEN(G653)=0,"",VLOOKUP(G653,Issues!A:D,3,FALSE))</f>
        <v>Fallas en puntajes, trivias, creditos, etc.</v>
      </c>
      <c r="J653" s="19" t="str">
        <f>IF(LEN(G653)=0,"",VLOOKUP(G653,Issues!A:D,4,FALSE))</f>
        <v>Critico</v>
      </c>
      <c r="K653" s="21" t="str">
        <f t="shared" si="32"/>
        <v>Issue</v>
      </c>
    </row>
    <row r="654" spans="1:11" x14ac:dyDescent="0.35">
      <c r="A654" s="23">
        <v>46048</v>
      </c>
      <c r="B654" s="19" t="str">
        <f t="shared" si="31"/>
        <v>enero</v>
      </c>
      <c r="C654" s="19" t="str">
        <f t="shared" si="30"/>
        <v>2026</v>
      </c>
      <c r="D654" s="25" t="s">
        <v>206</v>
      </c>
      <c r="E654" s="25" t="s">
        <v>25</v>
      </c>
      <c r="F654" s="25" t="s">
        <v>199</v>
      </c>
      <c r="G654" s="24">
        <v>200</v>
      </c>
      <c r="H654" s="19" t="str">
        <f>IF(LEN(G654)=0,"",VLOOKUP(G654,Issues!A:D,2,FALSE))</f>
        <v>(200) Contenidos</v>
      </c>
      <c r="I654" s="20" t="str">
        <f>IF(LEN(G654)=0,"",VLOOKUP(G654,Issues!A:D,3,FALSE))</f>
        <v>Contenidos recibido con éxito.</v>
      </c>
      <c r="J654" s="19" t="str">
        <f>IF(LEN(G654)=0,"",VLOOKUP(G654,Issues!A:D,4,FALSE))</f>
        <v>Prueba OK</v>
      </c>
      <c r="K654" s="21" t="str">
        <f t="shared" si="32"/>
        <v>OK</v>
      </c>
    </row>
    <row r="655" spans="1:11" x14ac:dyDescent="0.35">
      <c r="A655" s="23">
        <v>46071</v>
      </c>
      <c r="B655" s="19" t="str">
        <f t="shared" si="31"/>
        <v>febrero</v>
      </c>
      <c r="C655" s="19" t="str">
        <f t="shared" si="30"/>
        <v>2026</v>
      </c>
      <c r="D655" s="25" t="s">
        <v>206</v>
      </c>
      <c r="E655" s="25" t="s">
        <v>24</v>
      </c>
      <c r="F655" s="25" t="s">
        <v>155</v>
      </c>
      <c r="G655" s="24">
        <v>700</v>
      </c>
      <c r="H655" s="19" t="str">
        <f>IF(LEN(G655)=0,"",VLOOKUP(G655,Issues!A:D,2,FALSE))</f>
        <v>(700) Interaccion MO/MT (On Demand)</v>
      </c>
      <c r="I655" s="20" t="str">
        <f>IF(LEN(G655)=0,"",VLOOKUP(G655,Issues!A:D,3,FALSE))</f>
        <v>Flujo MO/MT con éxito.</v>
      </c>
      <c r="J655" s="19" t="str">
        <f>IF(LEN(G655)=0,"",VLOOKUP(G655,Issues!A:D,4,FALSE))</f>
        <v>Prueba OK</v>
      </c>
      <c r="K655" s="21" t="str">
        <f t="shared" si="32"/>
        <v>OK</v>
      </c>
    </row>
    <row r="656" spans="1:11" x14ac:dyDescent="0.35">
      <c r="A656" s="23">
        <v>46091</v>
      </c>
      <c r="B656" s="19" t="str">
        <f t="shared" si="31"/>
        <v>marzo</v>
      </c>
      <c r="C656" s="19" t="str">
        <f t="shared" si="30"/>
        <v>2026</v>
      </c>
      <c r="D656" s="25" t="s">
        <v>206</v>
      </c>
      <c r="E656" s="25" t="s">
        <v>21</v>
      </c>
      <c r="F656" s="25" t="s">
        <v>191</v>
      </c>
      <c r="G656" s="24">
        <v>201</v>
      </c>
      <c r="H656" s="19" t="str">
        <f>IF(LEN(G656)=0,"",VLOOKUP(G656,Issues!A:D,2,FALSE))</f>
        <v>(200) Contenidos</v>
      </c>
      <c r="I656" s="20" t="str">
        <f>IF(LEN(G656)=0,"",VLOOKUP(G656,Issues!A:D,3,FALSE))</f>
        <v>Entrega de mensaje fuera de horario establecido.</v>
      </c>
      <c r="J656" s="19" t="str">
        <f>IF(LEN(G656)=0,"",VLOOKUP(G656,Issues!A:D,4,FALSE))</f>
        <v>Critico</v>
      </c>
      <c r="K656" s="21" t="str">
        <f t="shared" si="32"/>
        <v>Issue</v>
      </c>
    </row>
    <row r="657" spans="1:11" x14ac:dyDescent="0.35">
      <c r="A657" s="23">
        <v>46096</v>
      </c>
      <c r="B657" s="19" t="str">
        <f t="shared" si="31"/>
        <v>marzo</v>
      </c>
      <c r="C657" s="19" t="str">
        <f t="shared" si="30"/>
        <v>2026</v>
      </c>
      <c r="D657" s="25" t="s">
        <v>206</v>
      </c>
      <c r="E657" s="25" t="s">
        <v>17</v>
      </c>
      <c r="F657" s="25" t="s">
        <v>181</v>
      </c>
      <c r="G657" s="24">
        <v>500</v>
      </c>
      <c r="H657" s="19" t="str">
        <f>IF(LEN(G657)=0,"",VLOOKUP(G657,Issues!A:D,2,FALSE))</f>
        <v>(500) Baja / Cancelacion</v>
      </c>
      <c r="I657" s="20" t="str">
        <f>IF(LEN(G657)=0,"",VLOOKUP(G657,Issues!A:D,3,FALSE))</f>
        <v>Baja con éxito.</v>
      </c>
      <c r="J657" s="19" t="str">
        <f>IF(LEN(G657)=0,"",VLOOKUP(G657,Issues!A:D,4,FALSE))</f>
        <v>Prueba OK</v>
      </c>
      <c r="K657" s="21" t="str">
        <f t="shared" si="32"/>
        <v>OK</v>
      </c>
    </row>
    <row r="658" spans="1:11" x14ac:dyDescent="0.35">
      <c r="A658" s="23">
        <v>46104</v>
      </c>
      <c r="B658" s="19" t="str">
        <f t="shared" si="31"/>
        <v>marzo</v>
      </c>
      <c r="C658" s="19" t="str">
        <f t="shared" si="30"/>
        <v>2026</v>
      </c>
      <c r="D658" s="25" t="s">
        <v>207</v>
      </c>
      <c r="E658" s="25" t="s">
        <v>21</v>
      </c>
      <c r="F658" s="25" t="s">
        <v>191</v>
      </c>
      <c r="G658" s="24">
        <v>112</v>
      </c>
      <c r="H658" s="19" t="str">
        <f>IF(LEN(G658)=0,"",VLOOKUP(G658,Issues!A:D,2,FALSE))</f>
        <v>(100)  Alta</v>
      </c>
      <c r="I658" s="20" t="str">
        <f>IF(LEN(G658)=0,"",VLOOKUP(G658,Issues!A:D,3,FALSE))</f>
        <v>Falla en alta a traves de tienda.</v>
      </c>
      <c r="J658" s="19" t="str">
        <f>IF(LEN(G658)=0,"",VLOOKUP(G658,Issues!A:D,4,FALSE))</f>
        <v>Critico</v>
      </c>
      <c r="K658" s="21" t="str">
        <f t="shared" si="32"/>
        <v>Issue</v>
      </c>
    </row>
    <row r="659" spans="1:11" x14ac:dyDescent="0.35">
      <c r="A659" s="23">
        <v>46147</v>
      </c>
      <c r="B659" s="19" t="str">
        <f t="shared" si="31"/>
        <v>mayo</v>
      </c>
      <c r="C659" s="19" t="str">
        <f t="shared" ref="C659:C722" si="33">IF(LEN(A659)=0,"",TEXT(A659,"aaaa"))</f>
        <v>2026</v>
      </c>
      <c r="D659" s="25" t="s">
        <v>208</v>
      </c>
      <c r="E659" s="25" t="s">
        <v>23</v>
      </c>
      <c r="F659" s="25" t="s">
        <v>196</v>
      </c>
      <c r="G659" s="24">
        <v>705</v>
      </c>
      <c r="H659" s="19" t="str">
        <f>IF(LEN(G659)=0,"",VLOOKUP(G659,Issues!A:D,2,FALSE))</f>
        <v>(700) Interaccion MO/MT (On Demand)</v>
      </c>
      <c r="I659" s="20" t="str">
        <f>IF(LEN(G659)=0,"",VLOOKUP(G659,Issues!A:D,3,FALSE))</f>
        <v>No funcionan los kw´s especiales (info, puntaje, ayuda, etc).</v>
      </c>
      <c r="J659" s="19" t="str">
        <f>IF(LEN(G659)=0,"",VLOOKUP(G659,Issues!A:D,4,FALSE))</f>
        <v>Medio</v>
      </c>
      <c r="K659" s="21" t="str">
        <f t="shared" si="32"/>
        <v>Issue</v>
      </c>
    </row>
    <row r="660" spans="1:11" x14ac:dyDescent="0.35">
      <c r="A660" s="23">
        <v>46099</v>
      </c>
      <c r="B660" s="19" t="str">
        <f t="shared" si="31"/>
        <v>marzo</v>
      </c>
      <c r="C660" s="19" t="str">
        <f t="shared" si="33"/>
        <v>2026</v>
      </c>
      <c r="D660" s="25" t="s">
        <v>207</v>
      </c>
      <c r="E660" s="25" t="s">
        <v>15</v>
      </c>
      <c r="F660" s="25" t="s">
        <v>175</v>
      </c>
      <c r="G660" s="24">
        <v>200</v>
      </c>
      <c r="H660" s="19" t="str">
        <f>IF(LEN(G660)=0,"",VLOOKUP(G660,Issues!A:D,2,FALSE))</f>
        <v>(200) Contenidos</v>
      </c>
      <c r="I660" s="20" t="str">
        <f>IF(LEN(G660)=0,"",VLOOKUP(G660,Issues!A:D,3,FALSE))</f>
        <v>Contenidos recibido con éxito.</v>
      </c>
      <c r="J660" s="19" t="str">
        <f>IF(LEN(G660)=0,"",VLOOKUP(G660,Issues!A:D,4,FALSE))</f>
        <v>Prueba OK</v>
      </c>
      <c r="K660" s="21" t="str">
        <f t="shared" si="32"/>
        <v>OK</v>
      </c>
    </row>
    <row r="661" spans="1:11" x14ac:dyDescent="0.35">
      <c r="A661" s="23">
        <v>46119</v>
      </c>
      <c r="B661" s="19" t="str">
        <f t="shared" si="31"/>
        <v>abril</v>
      </c>
      <c r="C661" s="19" t="str">
        <f t="shared" si="33"/>
        <v>2026</v>
      </c>
      <c r="D661" s="25" t="s">
        <v>206</v>
      </c>
      <c r="E661" s="25" t="s">
        <v>20</v>
      </c>
      <c r="F661" s="25" t="s">
        <v>188</v>
      </c>
      <c r="G661" s="24">
        <v>700</v>
      </c>
      <c r="H661" s="19" t="str">
        <f>IF(LEN(G661)=0,"",VLOOKUP(G661,Issues!A:D,2,FALSE))</f>
        <v>(700) Interaccion MO/MT (On Demand)</v>
      </c>
      <c r="I661" s="20" t="str">
        <f>IF(LEN(G661)=0,"",VLOOKUP(G661,Issues!A:D,3,FALSE))</f>
        <v>Flujo MO/MT con éxito.</v>
      </c>
      <c r="J661" s="19" t="str">
        <f>IF(LEN(G661)=0,"",VLOOKUP(G661,Issues!A:D,4,FALSE))</f>
        <v>Prueba OK</v>
      </c>
      <c r="K661" s="21" t="str">
        <f t="shared" si="32"/>
        <v>OK</v>
      </c>
    </row>
    <row r="662" spans="1:11" x14ac:dyDescent="0.35">
      <c r="A662" s="23">
        <v>46144</v>
      </c>
      <c r="B662" s="19" t="str">
        <f t="shared" si="31"/>
        <v>mayo</v>
      </c>
      <c r="C662" s="19" t="str">
        <f t="shared" si="33"/>
        <v>2026</v>
      </c>
      <c r="D662" s="25" t="s">
        <v>206</v>
      </c>
      <c r="E662" s="25" t="s">
        <v>18</v>
      </c>
      <c r="F662" s="25" t="s">
        <v>183</v>
      </c>
      <c r="G662" s="24">
        <v>400</v>
      </c>
      <c r="H662" s="19" t="str">
        <f>IF(LEN(G662)=0,"",VLOOKUP(G662,Issues!A:D,2,FALSE))</f>
        <v>(400) Portales / Web-App</v>
      </c>
      <c r="I662" s="20" t="str">
        <f>IF(LEN(G662)=0,"",VLOOKUP(G662,Issues!A:D,3,FALSE))</f>
        <v>Portal evaluado con éxito.</v>
      </c>
      <c r="J662" s="19" t="str">
        <f>IF(LEN(G662)=0,"",VLOOKUP(G662,Issues!A:D,4,FALSE))</f>
        <v>Prueba OK</v>
      </c>
      <c r="K662" s="21" t="str">
        <f t="shared" si="32"/>
        <v>OK</v>
      </c>
    </row>
    <row r="663" spans="1:11" x14ac:dyDescent="0.35">
      <c r="A663" s="23">
        <v>46060</v>
      </c>
      <c r="B663" s="19" t="str">
        <f t="shared" si="31"/>
        <v>febrero</v>
      </c>
      <c r="C663" s="19" t="str">
        <f t="shared" si="33"/>
        <v>2026</v>
      </c>
      <c r="D663" s="25" t="s">
        <v>206</v>
      </c>
      <c r="E663" s="25" t="s">
        <v>22</v>
      </c>
      <c r="F663" s="25" t="s">
        <v>158</v>
      </c>
      <c r="G663" s="24">
        <v>100</v>
      </c>
      <c r="H663" s="19" t="str">
        <f>IF(LEN(G663)=0,"",VLOOKUP(G663,Issues!A:D,2,FALSE))</f>
        <v>(100)  Alta</v>
      </c>
      <c r="I663" s="20" t="str">
        <f>IF(LEN(G663)=0,"",VLOOKUP(G663,Issues!A:D,3,FALSE))</f>
        <v>Alta con éxito.</v>
      </c>
      <c r="J663" s="19" t="str">
        <f>IF(LEN(G663)=0,"",VLOOKUP(G663,Issues!A:D,4,FALSE))</f>
        <v>Prueba OK</v>
      </c>
      <c r="K663" s="21" t="str">
        <f t="shared" si="32"/>
        <v>OK</v>
      </c>
    </row>
    <row r="664" spans="1:11" x14ac:dyDescent="0.35">
      <c r="A664" s="23">
        <v>46117</v>
      </c>
      <c r="B664" s="19" t="str">
        <f t="shared" si="31"/>
        <v>abril</v>
      </c>
      <c r="C664" s="19" t="str">
        <f t="shared" si="33"/>
        <v>2026</v>
      </c>
      <c r="D664" s="25" t="s">
        <v>210</v>
      </c>
      <c r="E664" s="25" t="s">
        <v>14</v>
      </c>
      <c r="F664" s="25" t="s">
        <v>171</v>
      </c>
      <c r="G664" s="24">
        <v>200</v>
      </c>
      <c r="H664" s="19" t="str">
        <f>IF(LEN(G664)=0,"",VLOOKUP(G664,Issues!A:D,2,FALSE))</f>
        <v>(200) Contenidos</v>
      </c>
      <c r="I664" s="20" t="str">
        <f>IF(LEN(G664)=0,"",VLOOKUP(G664,Issues!A:D,3,FALSE))</f>
        <v>Contenidos recibido con éxito.</v>
      </c>
      <c r="J664" s="19" t="str">
        <f>IF(LEN(G664)=0,"",VLOOKUP(G664,Issues!A:D,4,FALSE))</f>
        <v>Prueba OK</v>
      </c>
      <c r="K664" s="21" t="str">
        <f t="shared" si="32"/>
        <v>OK</v>
      </c>
    </row>
    <row r="665" spans="1:11" x14ac:dyDescent="0.35">
      <c r="A665" s="23">
        <v>46052</v>
      </c>
      <c r="B665" s="19" t="str">
        <f t="shared" si="31"/>
        <v>enero</v>
      </c>
      <c r="C665" s="19" t="str">
        <f t="shared" si="33"/>
        <v>2026</v>
      </c>
      <c r="D665" s="25" t="s">
        <v>207</v>
      </c>
      <c r="E665" s="25" t="s">
        <v>21</v>
      </c>
      <c r="F665" s="25" t="s">
        <v>193</v>
      </c>
      <c r="G665" s="24">
        <v>500</v>
      </c>
      <c r="H665" s="19" t="str">
        <f>IF(LEN(G665)=0,"",VLOOKUP(G665,Issues!A:D,2,FALSE))</f>
        <v>(500) Baja / Cancelacion</v>
      </c>
      <c r="I665" s="20" t="str">
        <f>IF(LEN(G665)=0,"",VLOOKUP(G665,Issues!A:D,3,FALSE))</f>
        <v>Baja con éxito.</v>
      </c>
      <c r="J665" s="19" t="str">
        <f>IF(LEN(G665)=0,"",VLOOKUP(G665,Issues!A:D,4,FALSE))</f>
        <v>Prueba OK</v>
      </c>
      <c r="K665" s="21" t="str">
        <f t="shared" si="32"/>
        <v>OK</v>
      </c>
    </row>
    <row r="666" spans="1:11" x14ac:dyDescent="0.35">
      <c r="A666" s="23">
        <v>46084</v>
      </c>
      <c r="B666" s="19" t="str">
        <f t="shared" si="31"/>
        <v>marzo</v>
      </c>
      <c r="C666" s="19" t="str">
        <f t="shared" si="33"/>
        <v>2026</v>
      </c>
      <c r="D666" s="25" t="s">
        <v>206</v>
      </c>
      <c r="E666" s="25" t="s">
        <v>20</v>
      </c>
      <c r="F666" s="25" t="s">
        <v>188</v>
      </c>
      <c r="G666" s="24">
        <v>307</v>
      </c>
      <c r="H666" s="19" t="str">
        <f>IF(LEN(G666)=0,"",VLOOKUP(G666,Issues!A:D,2,FALSE))</f>
        <v>(300) Cobros</v>
      </c>
      <c r="I666" s="20" t="str">
        <f>IF(LEN(G666)=0,"",VLOOKUP(G666,Issues!A:D,3,FALSE))</f>
        <v>Inconsistencias con el cobro escalonado.</v>
      </c>
      <c r="J666" s="19" t="str">
        <f>IF(LEN(G666)=0,"",VLOOKUP(G666,Issues!A:D,4,FALSE))</f>
        <v>Critico</v>
      </c>
      <c r="K666" s="21" t="str">
        <f t="shared" si="32"/>
        <v>Issue</v>
      </c>
    </row>
    <row r="667" spans="1:11" x14ac:dyDescent="0.35">
      <c r="A667" s="23">
        <v>46038</v>
      </c>
      <c r="B667" s="19" t="str">
        <f t="shared" si="31"/>
        <v>enero</v>
      </c>
      <c r="C667" s="19" t="str">
        <f t="shared" si="33"/>
        <v>2026</v>
      </c>
      <c r="D667" s="25" t="s">
        <v>207</v>
      </c>
      <c r="E667" s="25" t="s">
        <v>22</v>
      </c>
      <c r="F667" s="25" t="s">
        <v>150</v>
      </c>
      <c r="G667" s="24">
        <v>200</v>
      </c>
      <c r="H667" s="19" t="str">
        <f>IF(LEN(G667)=0,"",VLOOKUP(G667,Issues!A:D,2,FALSE))</f>
        <v>(200) Contenidos</v>
      </c>
      <c r="I667" s="20" t="str">
        <f>IF(LEN(G667)=0,"",VLOOKUP(G667,Issues!A:D,3,FALSE))</f>
        <v>Contenidos recibido con éxito.</v>
      </c>
      <c r="J667" s="19" t="str">
        <f>IF(LEN(G667)=0,"",VLOOKUP(G667,Issues!A:D,4,FALSE))</f>
        <v>Prueba OK</v>
      </c>
      <c r="K667" s="21" t="str">
        <f t="shared" si="32"/>
        <v>OK</v>
      </c>
    </row>
    <row r="668" spans="1:11" x14ac:dyDescent="0.35">
      <c r="A668" s="23">
        <v>46138</v>
      </c>
      <c r="B668" s="19" t="str">
        <f t="shared" si="31"/>
        <v>abril</v>
      </c>
      <c r="C668" s="19" t="str">
        <f t="shared" si="33"/>
        <v>2026</v>
      </c>
      <c r="D668" s="25" t="s">
        <v>207</v>
      </c>
      <c r="E668" s="25" t="s">
        <v>11</v>
      </c>
      <c r="F668" s="25" t="s">
        <v>166</v>
      </c>
      <c r="G668" s="24">
        <v>800</v>
      </c>
      <c r="H668" s="19" t="str">
        <f>IF(LEN(G668)=0,"",VLOOKUP(G668,Issues!A:D,2,FALSE))</f>
        <v>(800) Politicas especiales operadores</v>
      </c>
      <c r="I668" s="20" t="str">
        <f>IF(LEN(G668)=0,"",VLOOKUP(G668,Issues!A:D,3,FALSE))</f>
        <v>Politicas de los operadores cumplidas.</v>
      </c>
      <c r="J668" s="19" t="str">
        <f>IF(LEN(G668)=0,"",VLOOKUP(G668,Issues!A:D,4,FALSE))</f>
        <v>Prueba OK</v>
      </c>
      <c r="K668" s="21" t="str">
        <f t="shared" si="32"/>
        <v>OK</v>
      </c>
    </row>
    <row r="669" spans="1:11" x14ac:dyDescent="0.35">
      <c r="A669" s="23">
        <v>46130</v>
      </c>
      <c r="B669" s="19" t="str">
        <f t="shared" si="31"/>
        <v>abril</v>
      </c>
      <c r="C669" s="19" t="str">
        <f t="shared" si="33"/>
        <v>2026</v>
      </c>
      <c r="D669" s="25" t="s">
        <v>207</v>
      </c>
      <c r="E669" s="25" t="s">
        <v>21</v>
      </c>
      <c r="F669" s="25" t="s">
        <v>192</v>
      </c>
      <c r="G669" s="24">
        <v>300</v>
      </c>
      <c r="H669" s="19" t="str">
        <f>IF(LEN(G669)=0,"",VLOOKUP(G669,Issues!A:D,2,FALSE))</f>
        <v>(300) Cobros</v>
      </c>
      <c r="I669" s="20" t="str">
        <f>IF(LEN(G669)=0,"",VLOOKUP(G669,Issues!A:D,3,FALSE))</f>
        <v>Cobro en valor y forma correcto.</v>
      </c>
      <c r="J669" s="19" t="str">
        <f>IF(LEN(G669)=0,"",VLOOKUP(G669,Issues!A:D,4,FALSE))</f>
        <v>Prueba OK</v>
      </c>
      <c r="K669" s="21" t="str">
        <f t="shared" si="32"/>
        <v>OK</v>
      </c>
    </row>
    <row r="670" spans="1:11" x14ac:dyDescent="0.35">
      <c r="A670" s="23">
        <v>46133</v>
      </c>
      <c r="B670" s="19" t="str">
        <f t="shared" si="31"/>
        <v>abril</v>
      </c>
      <c r="C670" s="19" t="str">
        <f t="shared" si="33"/>
        <v>2026</v>
      </c>
      <c r="D670" s="25" t="s">
        <v>206</v>
      </c>
      <c r="E670" s="25" t="s">
        <v>25</v>
      </c>
      <c r="F670" s="25" t="s">
        <v>198</v>
      </c>
      <c r="G670" s="24">
        <v>307</v>
      </c>
      <c r="H670" s="19" t="str">
        <f>IF(LEN(G670)=0,"",VLOOKUP(G670,Issues!A:D,2,FALSE))</f>
        <v>(300) Cobros</v>
      </c>
      <c r="I670" s="20" t="str">
        <f>IF(LEN(G670)=0,"",VLOOKUP(G670,Issues!A:D,3,FALSE))</f>
        <v>Inconsistencias con el cobro escalonado.</v>
      </c>
      <c r="J670" s="19" t="str">
        <f>IF(LEN(G670)=0,"",VLOOKUP(G670,Issues!A:D,4,FALSE))</f>
        <v>Critico</v>
      </c>
      <c r="K670" s="21" t="str">
        <f t="shared" si="32"/>
        <v>Issue</v>
      </c>
    </row>
    <row r="671" spans="1:11" x14ac:dyDescent="0.35">
      <c r="A671" s="23">
        <v>46098</v>
      </c>
      <c r="B671" s="19" t="str">
        <f t="shared" si="31"/>
        <v>marzo</v>
      </c>
      <c r="C671" s="19" t="str">
        <f t="shared" si="33"/>
        <v>2026</v>
      </c>
      <c r="D671" s="25" t="s">
        <v>206</v>
      </c>
      <c r="E671" s="25" t="s">
        <v>11</v>
      </c>
      <c r="F671" s="25" t="s">
        <v>165</v>
      </c>
      <c r="G671" s="24">
        <v>100</v>
      </c>
      <c r="H671" s="19" t="str">
        <f>IF(LEN(G671)=0,"",VLOOKUP(G671,Issues!A:D,2,FALSE))</f>
        <v>(100)  Alta</v>
      </c>
      <c r="I671" s="20" t="str">
        <f>IF(LEN(G671)=0,"",VLOOKUP(G671,Issues!A:D,3,FALSE))</f>
        <v>Alta con éxito.</v>
      </c>
      <c r="J671" s="19" t="str">
        <f>IF(LEN(G671)=0,"",VLOOKUP(G671,Issues!A:D,4,FALSE))</f>
        <v>Prueba OK</v>
      </c>
      <c r="K671" s="21" t="str">
        <f t="shared" si="32"/>
        <v>OK</v>
      </c>
    </row>
    <row r="672" spans="1:11" x14ac:dyDescent="0.35">
      <c r="A672" s="23">
        <v>46125</v>
      </c>
      <c r="B672" s="19" t="str">
        <f t="shared" si="31"/>
        <v>abril</v>
      </c>
      <c r="C672" s="19" t="str">
        <f t="shared" si="33"/>
        <v>2026</v>
      </c>
      <c r="D672" s="25" t="s">
        <v>206</v>
      </c>
      <c r="E672" s="25" t="s">
        <v>19</v>
      </c>
      <c r="F672" s="25" t="s">
        <v>187</v>
      </c>
      <c r="G672" s="24">
        <v>800</v>
      </c>
      <c r="H672" s="19" t="str">
        <f>IF(LEN(G672)=0,"",VLOOKUP(G672,Issues!A:D,2,FALSE))</f>
        <v>(800) Politicas especiales operadores</v>
      </c>
      <c r="I672" s="20" t="str">
        <f>IF(LEN(G672)=0,"",VLOOKUP(G672,Issues!A:D,3,FALSE))</f>
        <v>Politicas de los operadores cumplidas.</v>
      </c>
      <c r="J672" s="19" t="str">
        <f>IF(LEN(G672)=0,"",VLOOKUP(G672,Issues!A:D,4,FALSE))</f>
        <v>Prueba OK</v>
      </c>
      <c r="K672" s="21" t="str">
        <f t="shared" si="32"/>
        <v>OK</v>
      </c>
    </row>
    <row r="673" spans="1:11" x14ac:dyDescent="0.35">
      <c r="A673" s="23">
        <v>46121</v>
      </c>
      <c r="B673" s="19" t="str">
        <f t="shared" si="31"/>
        <v>abril</v>
      </c>
      <c r="C673" s="19" t="str">
        <f t="shared" si="33"/>
        <v>2026</v>
      </c>
      <c r="D673" s="25" t="s">
        <v>206</v>
      </c>
      <c r="E673" s="25" t="s">
        <v>15</v>
      </c>
      <c r="F673" s="25" t="s">
        <v>173</v>
      </c>
      <c r="G673" s="24">
        <v>104</v>
      </c>
      <c r="H673" s="19" t="str">
        <f>IF(LEN(G673)=0,"",VLOOKUP(G673,Issues!A:D,2,FALSE))</f>
        <v>(100)  Alta</v>
      </c>
      <c r="I673" s="20" t="str">
        <f>IF(LEN(G673)=0,"",VLOOKUP(G673,Issues!A:D,3,FALSE))</f>
        <v>No llega pin code.</v>
      </c>
      <c r="J673" s="19" t="str">
        <f>IF(LEN(G673)=0,"",VLOOKUP(G673,Issues!A:D,4,FALSE))</f>
        <v>Medio</v>
      </c>
      <c r="K673" s="21" t="str">
        <f t="shared" si="32"/>
        <v>Issue</v>
      </c>
    </row>
    <row r="674" spans="1:11" x14ac:dyDescent="0.35">
      <c r="A674" s="23">
        <v>46072</v>
      </c>
      <c r="B674" s="19" t="str">
        <f t="shared" si="31"/>
        <v>febrero</v>
      </c>
      <c r="C674" s="19" t="str">
        <f t="shared" si="33"/>
        <v>2026</v>
      </c>
      <c r="D674" s="25" t="s">
        <v>207</v>
      </c>
      <c r="E674" s="25" t="s">
        <v>21</v>
      </c>
      <c r="F674" s="25" t="s">
        <v>191</v>
      </c>
      <c r="G674" s="24">
        <v>500</v>
      </c>
      <c r="H674" s="19" t="str">
        <f>IF(LEN(G674)=0,"",VLOOKUP(G674,Issues!A:D,2,FALSE))</f>
        <v>(500) Baja / Cancelacion</v>
      </c>
      <c r="I674" s="20" t="str">
        <f>IF(LEN(G674)=0,"",VLOOKUP(G674,Issues!A:D,3,FALSE))</f>
        <v>Baja con éxito.</v>
      </c>
      <c r="J674" s="19" t="str">
        <f>IF(LEN(G674)=0,"",VLOOKUP(G674,Issues!A:D,4,FALSE))</f>
        <v>Prueba OK</v>
      </c>
      <c r="K674" s="21" t="str">
        <f t="shared" si="32"/>
        <v>OK</v>
      </c>
    </row>
    <row r="675" spans="1:11" x14ac:dyDescent="0.35">
      <c r="A675" s="23">
        <v>46030</v>
      </c>
      <c r="B675" s="19" t="str">
        <f t="shared" si="31"/>
        <v>enero</v>
      </c>
      <c r="C675" s="19" t="str">
        <f t="shared" si="33"/>
        <v>2026</v>
      </c>
      <c r="D675" s="25" t="s">
        <v>206</v>
      </c>
      <c r="E675" s="25" t="s">
        <v>12</v>
      </c>
      <c r="F675" s="25" t="s">
        <v>168</v>
      </c>
      <c r="G675" s="24">
        <v>400</v>
      </c>
      <c r="H675" s="19" t="str">
        <f>IF(LEN(G675)=0,"",VLOOKUP(G675,Issues!A:D,2,FALSE))</f>
        <v>(400) Portales / Web-App</v>
      </c>
      <c r="I675" s="20" t="str">
        <f>IF(LEN(G675)=0,"",VLOOKUP(G675,Issues!A:D,3,FALSE))</f>
        <v>Portal evaluado con éxito.</v>
      </c>
      <c r="J675" s="19" t="str">
        <f>IF(LEN(G675)=0,"",VLOOKUP(G675,Issues!A:D,4,FALSE))</f>
        <v>Prueba OK</v>
      </c>
      <c r="K675" s="21" t="str">
        <f t="shared" si="32"/>
        <v>OK</v>
      </c>
    </row>
    <row r="676" spans="1:11" x14ac:dyDescent="0.35">
      <c r="A676" s="23">
        <v>46049</v>
      </c>
      <c r="B676" s="19" t="str">
        <f t="shared" si="31"/>
        <v>enero</v>
      </c>
      <c r="C676" s="19" t="str">
        <f t="shared" si="33"/>
        <v>2026</v>
      </c>
      <c r="D676" s="25" t="s">
        <v>206</v>
      </c>
      <c r="E676" s="25" t="s">
        <v>19</v>
      </c>
      <c r="F676" s="25" t="s">
        <v>186</v>
      </c>
      <c r="G676" s="24">
        <v>100</v>
      </c>
      <c r="H676" s="19" t="str">
        <f>IF(LEN(G676)=0,"",VLOOKUP(G676,Issues!A:D,2,FALSE))</f>
        <v>(100)  Alta</v>
      </c>
      <c r="I676" s="20" t="str">
        <f>IF(LEN(G676)=0,"",VLOOKUP(G676,Issues!A:D,3,FALSE))</f>
        <v>Alta con éxito.</v>
      </c>
      <c r="J676" s="19" t="str">
        <f>IF(LEN(G676)=0,"",VLOOKUP(G676,Issues!A:D,4,FALSE))</f>
        <v>Prueba OK</v>
      </c>
      <c r="K676" s="21" t="str">
        <f t="shared" si="32"/>
        <v>OK</v>
      </c>
    </row>
    <row r="677" spans="1:11" x14ac:dyDescent="0.35">
      <c r="A677" s="23">
        <v>46064</v>
      </c>
      <c r="B677" s="19" t="str">
        <f t="shared" si="31"/>
        <v>febrero</v>
      </c>
      <c r="C677" s="19" t="str">
        <f t="shared" si="33"/>
        <v>2026</v>
      </c>
      <c r="D677" s="25" t="s">
        <v>206</v>
      </c>
      <c r="E677" s="25" t="s">
        <v>24</v>
      </c>
      <c r="F677" s="25" t="s">
        <v>151</v>
      </c>
      <c r="G677" s="24">
        <v>408</v>
      </c>
      <c r="H677" s="19" t="str">
        <f>IF(LEN(G677)=0,"",VLOOKUP(G677,Issues!A:D,2,FALSE))</f>
        <v>(400) Portales / Web-App</v>
      </c>
      <c r="I677" s="20" t="str">
        <f>IF(LEN(G677)=0,"",VLOOKUP(G677,Issues!A:D,3,FALSE))</f>
        <v>Inconsistencias en los t&amp;c del portal / web-app.</v>
      </c>
      <c r="J677" s="19" t="str">
        <f>IF(LEN(G677)=0,"",VLOOKUP(G677,Issues!A:D,4,FALSE))</f>
        <v>Critico</v>
      </c>
      <c r="K677" s="21" t="str">
        <f t="shared" si="32"/>
        <v>Issue</v>
      </c>
    </row>
    <row r="678" spans="1:11" x14ac:dyDescent="0.35">
      <c r="A678" s="23">
        <v>46153</v>
      </c>
      <c r="B678" s="19" t="str">
        <f t="shared" si="31"/>
        <v>mayo</v>
      </c>
      <c r="C678" s="19" t="str">
        <f t="shared" si="33"/>
        <v>2026</v>
      </c>
      <c r="D678" s="25" t="s">
        <v>206</v>
      </c>
      <c r="E678" s="25" t="s">
        <v>17</v>
      </c>
      <c r="F678" s="25" t="s">
        <v>179</v>
      </c>
      <c r="G678" s="24">
        <v>111</v>
      </c>
      <c r="H678" s="19" t="str">
        <f>IF(LEN(G678)=0,"",VLOOKUP(G678,Issues!A:D,2,FALSE))</f>
        <v>(100)  Alta</v>
      </c>
      <c r="I678" s="20" t="str">
        <f>IF(LEN(G678)=0,"",VLOOKUP(G678,Issues!A:D,3,FALSE))</f>
        <v>Falla en alta a traves de sim.</v>
      </c>
      <c r="J678" s="19" t="str">
        <f>IF(LEN(G678)=0,"",VLOOKUP(G678,Issues!A:D,4,FALSE))</f>
        <v>Critico</v>
      </c>
      <c r="K678" s="21" t="str">
        <f t="shared" si="32"/>
        <v>Issue</v>
      </c>
    </row>
    <row r="679" spans="1:11" x14ac:dyDescent="0.35">
      <c r="A679" s="23">
        <v>46142</v>
      </c>
      <c r="B679" s="19" t="str">
        <f t="shared" si="31"/>
        <v>abril</v>
      </c>
      <c r="C679" s="19" t="str">
        <f t="shared" si="33"/>
        <v>2026</v>
      </c>
      <c r="D679" s="25" t="s">
        <v>205</v>
      </c>
      <c r="E679" s="25" t="s">
        <v>23</v>
      </c>
      <c r="F679" s="25" t="s">
        <v>196</v>
      </c>
      <c r="G679" s="24">
        <v>303</v>
      </c>
      <c r="H679" s="19" t="str">
        <f>IF(LEN(G679)=0,"",VLOOKUP(G679,Issues!A:D,2,FALSE))</f>
        <v>(300) Cobros</v>
      </c>
      <c r="I679" s="20" t="str">
        <f>IF(LEN(G679)=0,"",VLOOKUP(G679,Issues!A:D,3,FALSE))</f>
        <v>Llego contenido (no hubo cobro).</v>
      </c>
      <c r="J679" s="19" t="str">
        <f>IF(LEN(G679)=0,"",VLOOKUP(G679,Issues!A:D,4,FALSE))</f>
        <v>Critico</v>
      </c>
      <c r="K679" s="21" t="str">
        <f t="shared" si="32"/>
        <v>Issue</v>
      </c>
    </row>
    <row r="680" spans="1:11" x14ac:dyDescent="0.35">
      <c r="A680" s="23">
        <v>46074</v>
      </c>
      <c r="B680" s="19" t="str">
        <f t="shared" si="31"/>
        <v>febrero</v>
      </c>
      <c r="C680" s="19" t="str">
        <f t="shared" si="33"/>
        <v>2026</v>
      </c>
      <c r="D680" s="25" t="s">
        <v>208</v>
      </c>
      <c r="E680" s="25" t="s">
        <v>14</v>
      </c>
      <c r="F680" s="25" t="s">
        <v>172</v>
      </c>
      <c r="G680" s="24">
        <v>500</v>
      </c>
      <c r="H680" s="19" t="str">
        <f>IF(LEN(G680)=0,"",VLOOKUP(G680,Issues!A:D,2,FALSE))</f>
        <v>(500) Baja / Cancelacion</v>
      </c>
      <c r="I680" s="20" t="str">
        <f>IF(LEN(G680)=0,"",VLOOKUP(G680,Issues!A:D,3,FALSE))</f>
        <v>Baja con éxito.</v>
      </c>
      <c r="J680" s="19" t="str">
        <f>IF(LEN(G680)=0,"",VLOOKUP(G680,Issues!A:D,4,FALSE))</f>
        <v>Prueba OK</v>
      </c>
      <c r="K680" s="21" t="str">
        <f t="shared" si="32"/>
        <v>OK</v>
      </c>
    </row>
    <row r="681" spans="1:11" x14ac:dyDescent="0.35">
      <c r="A681" s="23">
        <v>46025</v>
      </c>
      <c r="B681" s="19" t="str">
        <f t="shared" si="31"/>
        <v>enero</v>
      </c>
      <c r="C681" s="19" t="str">
        <f t="shared" si="33"/>
        <v>2026</v>
      </c>
      <c r="D681" s="25" t="s">
        <v>206</v>
      </c>
      <c r="E681" s="25" t="s">
        <v>14</v>
      </c>
      <c r="F681" s="25" t="s">
        <v>171</v>
      </c>
      <c r="G681" s="24">
        <v>205</v>
      </c>
      <c r="H681" s="19" t="str">
        <f>IF(LEN(G681)=0,"",VLOOKUP(G681,Issues!A:D,2,FALSE))</f>
        <v>(200) Contenidos</v>
      </c>
      <c r="I681" s="20" t="str">
        <f>IF(LEN(G681)=0,"",VLOOKUP(G681,Issues!A:D,3,FALSE))</f>
        <v>Llego contenido de otro club.</v>
      </c>
      <c r="J681" s="19" t="str">
        <f>IF(LEN(G681)=0,"",VLOOKUP(G681,Issues!A:D,4,FALSE))</f>
        <v>Critico</v>
      </c>
      <c r="K681" s="21" t="str">
        <f t="shared" si="32"/>
        <v>Issue</v>
      </c>
    </row>
    <row r="682" spans="1:11" x14ac:dyDescent="0.35">
      <c r="A682" s="23">
        <v>46123</v>
      </c>
      <c r="B682" s="19" t="str">
        <f t="shared" si="31"/>
        <v>abril</v>
      </c>
      <c r="C682" s="19" t="str">
        <f t="shared" si="33"/>
        <v>2026</v>
      </c>
      <c r="D682" s="25" t="s">
        <v>207</v>
      </c>
      <c r="E682" s="25" t="s">
        <v>13</v>
      </c>
      <c r="F682" s="25" t="s">
        <v>153</v>
      </c>
      <c r="G682" s="24">
        <v>800</v>
      </c>
      <c r="H682" s="19" t="str">
        <f>IF(LEN(G682)=0,"",VLOOKUP(G682,Issues!A:D,2,FALSE))</f>
        <v>(800) Politicas especiales operadores</v>
      </c>
      <c r="I682" s="20" t="str">
        <f>IF(LEN(G682)=0,"",VLOOKUP(G682,Issues!A:D,3,FALSE))</f>
        <v>Politicas de los operadores cumplidas.</v>
      </c>
      <c r="J682" s="19" t="str">
        <f>IF(LEN(G682)=0,"",VLOOKUP(G682,Issues!A:D,4,FALSE))</f>
        <v>Prueba OK</v>
      </c>
      <c r="K682" s="21" t="str">
        <f t="shared" si="32"/>
        <v>OK</v>
      </c>
    </row>
    <row r="683" spans="1:11" x14ac:dyDescent="0.35">
      <c r="A683" s="23">
        <v>46085</v>
      </c>
      <c r="B683" s="19" t="str">
        <f t="shared" si="31"/>
        <v>marzo</v>
      </c>
      <c r="C683" s="19" t="str">
        <f t="shared" si="33"/>
        <v>2026</v>
      </c>
      <c r="D683" s="25" t="s">
        <v>208</v>
      </c>
      <c r="E683" s="25" t="s">
        <v>14</v>
      </c>
      <c r="F683" s="25" t="s">
        <v>171</v>
      </c>
      <c r="G683" s="24">
        <v>100</v>
      </c>
      <c r="H683" s="19" t="str">
        <f>IF(LEN(G683)=0,"",VLOOKUP(G683,Issues!A:D,2,FALSE))</f>
        <v>(100)  Alta</v>
      </c>
      <c r="I683" s="20" t="str">
        <f>IF(LEN(G683)=0,"",VLOOKUP(G683,Issues!A:D,3,FALSE))</f>
        <v>Alta con éxito.</v>
      </c>
      <c r="J683" s="19" t="str">
        <f>IF(LEN(G683)=0,"",VLOOKUP(G683,Issues!A:D,4,FALSE))</f>
        <v>Prueba OK</v>
      </c>
      <c r="K683" s="21" t="str">
        <f t="shared" si="32"/>
        <v>OK</v>
      </c>
    </row>
    <row r="684" spans="1:11" x14ac:dyDescent="0.35">
      <c r="A684" s="23">
        <v>46112</v>
      </c>
      <c r="B684" s="19" t="str">
        <f t="shared" si="31"/>
        <v>marzo</v>
      </c>
      <c r="C684" s="19" t="str">
        <f t="shared" si="33"/>
        <v>2026</v>
      </c>
      <c r="D684" s="25" t="s">
        <v>205</v>
      </c>
      <c r="E684" s="25" t="s">
        <v>19</v>
      </c>
      <c r="F684" s="25" t="s">
        <v>187</v>
      </c>
      <c r="G684" s="24">
        <v>100</v>
      </c>
      <c r="H684" s="19" t="str">
        <f>IF(LEN(G684)=0,"",VLOOKUP(G684,Issues!A:D,2,FALSE))</f>
        <v>(100)  Alta</v>
      </c>
      <c r="I684" s="20" t="str">
        <f>IF(LEN(G684)=0,"",VLOOKUP(G684,Issues!A:D,3,FALSE))</f>
        <v>Alta con éxito.</v>
      </c>
      <c r="J684" s="19" t="str">
        <f>IF(LEN(G684)=0,"",VLOOKUP(G684,Issues!A:D,4,FALSE))</f>
        <v>Prueba OK</v>
      </c>
      <c r="K684" s="21" t="str">
        <f t="shared" si="32"/>
        <v>OK</v>
      </c>
    </row>
    <row r="685" spans="1:11" x14ac:dyDescent="0.35">
      <c r="A685" s="23">
        <v>46108</v>
      </c>
      <c r="B685" s="19" t="str">
        <f t="shared" si="31"/>
        <v>marzo</v>
      </c>
      <c r="C685" s="19" t="str">
        <f t="shared" si="33"/>
        <v>2026</v>
      </c>
      <c r="D685" s="25" t="s">
        <v>206</v>
      </c>
      <c r="E685" s="25" t="s">
        <v>20</v>
      </c>
      <c r="F685" s="25" t="s">
        <v>188</v>
      </c>
      <c r="G685" s="24">
        <v>408</v>
      </c>
      <c r="H685" s="19" t="str">
        <f>IF(LEN(G685)=0,"",VLOOKUP(G685,Issues!A:D,2,FALSE))</f>
        <v>(400) Portales / Web-App</v>
      </c>
      <c r="I685" s="20" t="str">
        <f>IF(LEN(G685)=0,"",VLOOKUP(G685,Issues!A:D,3,FALSE))</f>
        <v>Inconsistencias en los t&amp;c del portal / web-app.</v>
      </c>
      <c r="J685" s="19" t="str">
        <f>IF(LEN(G685)=0,"",VLOOKUP(G685,Issues!A:D,4,FALSE))</f>
        <v>Critico</v>
      </c>
      <c r="K685" s="21" t="str">
        <f t="shared" si="32"/>
        <v>Issue</v>
      </c>
    </row>
    <row r="686" spans="1:11" x14ac:dyDescent="0.35">
      <c r="A686" s="23">
        <v>46064</v>
      </c>
      <c r="B686" s="19" t="str">
        <f t="shared" si="31"/>
        <v>febrero</v>
      </c>
      <c r="C686" s="19" t="str">
        <f t="shared" si="33"/>
        <v>2026</v>
      </c>
      <c r="D686" s="25" t="s">
        <v>206</v>
      </c>
      <c r="E686" s="25" t="s">
        <v>23</v>
      </c>
      <c r="F686" s="25" t="s">
        <v>195</v>
      </c>
      <c r="G686" s="24">
        <v>111</v>
      </c>
      <c r="H686" s="19" t="str">
        <f>IF(LEN(G686)=0,"",VLOOKUP(G686,Issues!A:D,2,FALSE))</f>
        <v>(100)  Alta</v>
      </c>
      <c r="I686" s="20" t="str">
        <f>IF(LEN(G686)=0,"",VLOOKUP(G686,Issues!A:D,3,FALSE))</f>
        <v>Falla en alta a traves de sim.</v>
      </c>
      <c r="J686" s="19" t="str">
        <f>IF(LEN(G686)=0,"",VLOOKUP(G686,Issues!A:D,4,FALSE))</f>
        <v>Critico</v>
      </c>
      <c r="K686" s="21" t="str">
        <f t="shared" si="32"/>
        <v>Issue</v>
      </c>
    </row>
    <row r="687" spans="1:11" x14ac:dyDescent="0.35">
      <c r="A687" s="23">
        <v>46039</v>
      </c>
      <c r="B687" s="19" t="str">
        <f t="shared" si="31"/>
        <v>enero</v>
      </c>
      <c r="C687" s="19" t="str">
        <f t="shared" si="33"/>
        <v>2026</v>
      </c>
      <c r="D687" s="25" t="s">
        <v>207</v>
      </c>
      <c r="E687" s="25" t="s">
        <v>23</v>
      </c>
      <c r="F687" s="25" t="s">
        <v>195</v>
      </c>
      <c r="G687" s="24">
        <v>800</v>
      </c>
      <c r="H687" s="19" t="str">
        <f>IF(LEN(G687)=0,"",VLOOKUP(G687,Issues!A:D,2,FALSE))</f>
        <v>(800) Politicas especiales operadores</v>
      </c>
      <c r="I687" s="20" t="str">
        <f>IF(LEN(G687)=0,"",VLOOKUP(G687,Issues!A:D,3,FALSE))</f>
        <v>Politicas de los operadores cumplidas.</v>
      </c>
      <c r="J687" s="19" t="str">
        <f>IF(LEN(G687)=0,"",VLOOKUP(G687,Issues!A:D,4,FALSE))</f>
        <v>Prueba OK</v>
      </c>
      <c r="K687" s="21" t="str">
        <f t="shared" si="32"/>
        <v>OK</v>
      </c>
    </row>
    <row r="688" spans="1:11" x14ac:dyDescent="0.35">
      <c r="A688" s="23">
        <v>46043</v>
      </c>
      <c r="B688" s="19" t="str">
        <f t="shared" si="31"/>
        <v>enero</v>
      </c>
      <c r="C688" s="19" t="str">
        <f t="shared" si="33"/>
        <v>2026</v>
      </c>
      <c r="D688" s="25" t="s">
        <v>206</v>
      </c>
      <c r="E688" s="25" t="s">
        <v>26</v>
      </c>
      <c r="F688" s="25" t="s">
        <v>156</v>
      </c>
      <c r="G688" s="24">
        <v>700</v>
      </c>
      <c r="H688" s="19" t="str">
        <f>IF(LEN(G688)=0,"",VLOOKUP(G688,Issues!A:D,2,FALSE))</f>
        <v>(700) Interaccion MO/MT (On Demand)</v>
      </c>
      <c r="I688" s="20" t="str">
        <f>IF(LEN(G688)=0,"",VLOOKUP(G688,Issues!A:D,3,FALSE))</f>
        <v>Flujo MO/MT con éxito.</v>
      </c>
      <c r="J688" s="19" t="str">
        <f>IF(LEN(G688)=0,"",VLOOKUP(G688,Issues!A:D,4,FALSE))</f>
        <v>Prueba OK</v>
      </c>
      <c r="K688" s="21" t="str">
        <f t="shared" si="32"/>
        <v>OK</v>
      </c>
    </row>
    <row r="689" spans="1:11" x14ac:dyDescent="0.35">
      <c r="A689" s="23">
        <v>46074</v>
      </c>
      <c r="B689" s="19" t="str">
        <f t="shared" si="31"/>
        <v>febrero</v>
      </c>
      <c r="C689" s="19" t="str">
        <f t="shared" si="33"/>
        <v>2026</v>
      </c>
      <c r="D689" s="25" t="s">
        <v>207</v>
      </c>
      <c r="E689" s="25" t="s">
        <v>14</v>
      </c>
      <c r="F689" s="25" t="s">
        <v>170</v>
      </c>
      <c r="G689" s="24">
        <v>210</v>
      </c>
      <c r="H689" s="19" t="str">
        <f>IF(LEN(G689)=0,"",VLOOKUP(G689,Issues!A:D,2,FALSE))</f>
        <v>(200) Contenidos</v>
      </c>
      <c r="I689" s="20" t="str">
        <f>IF(LEN(G689)=0,"",VLOOKUP(G689,Issues!A:D,3,FALSE))</f>
        <v>Contenido no apropiado - fuera de las politicas del operador.</v>
      </c>
      <c r="J689" s="19" t="str">
        <f>IF(LEN(G689)=0,"",VLOOKUP(G689,Issues!A:D,4,FALSE))</f>
        <v>Critico</v>
      </c>
      <c r="K689" s="21" t="str">
        <f t="shared" si="32"/>
        <v>Issue</v>
      </c>
    </row>
    <row r="690" spans="1:11" x14ac:dyDescent="0.35">
      <c r="A690" s="23">
        <v>46152</v>
      </c>
      <c r="B690" s="19" t="str">
        <f t="shared" si="31"/>
        <v>mayo</v>
      </c>
      <c r="C690" s="19" t="str">
        <f t="shared" si="33"/>
        <v>2026</v>
      </c>
      <c r="D690" s="25" t="s">
        <v>206</v>
      </c>
      <c r="E690" s="25" t="s">
        <v>27</v>
      </c>
      <c r="F690" s="25" t="s">
        <v>201</v>
      </c>
      <c r="G690" s="24">
        <v>501</v>
      </c>
      <c r="H690" s="19" t="str">
        <f>IF(LEN(G690)=0,"",VLOOKUP(G690,Issues!A:D,2,FALSE))</f>
        <v>(500) Baja / Cancelacion</v>
      </c>
      <c r="I690" s="20" t="str">
        <f>IF(LEN(G690)=0,"",VLOOKUP(G690,Issues!A:D,3,FALSE))</f>
        <v>No funciona el comando de baja.</v>
      </c>
      <c r="J690" s="19" t="str">
        <f>IF(LEN(G690)=0,"",VLOOKUP(G690,Issues!A:D,4,FALSE))</f>
        <v>Critico</v>
      </c>
      <c r="K690" s="21" t="str">
        <f t="shared" si="32"/>
        <v>Issue</v>
      </c>
    </row>
    <row r="691" spans="1:11" x14ac:dyDescent="0.35">
      <c r="A691" s="23">
        <v>46151</v>
      </c>
      <c r="B691" s="19" t="str">
        <f t="shared" si="31"/>
        <v>mayo</v>
      </c>
      <c r="C691" s="19" t="str">
        <f t="shared" si="33"/>
        <v>2026</v>
      </c>
      <c r="D691" s="25" t="s">
        <v>204</v>
      </c>
      <c r="E691" s="25" t="s">
        <v>13</v>
      </c>
      <c r="F691" s="25" t="s">
        <v>157</v>
      </c>
      <c r="G691" s="24">
        <v>300</v>
      </c>
      <c r="H691" s="19" t="str">
        <f>IF(LEN(G691)=0,"",VLOOKUP(G691,Issues!A:D,2,FALSE))</f>
        <v>(300) Cobros</v>
      </c>
      <c r="I691" s="20" t="str">
        <f>IF(LEN(G691)=0,"",VLOOKUP(G691,Issues!A:D,3,FALSE))</f>
        <v>Cobro en valor y forma correcto.</v>
      </c>
      <c r="J691" s="19" t="str">
        <f>IF(LEN(G691)=0,"",VLOOKUP(G691,Issues!A:D,4,FALSE))</f>
        <v>Prueba OK</v>
      </c>
      <c r="K691" s="21" t="str">
        <f t="shared" si="32"/>
        <v>OK</v>
      </c>
    </row>
    <row r="692" spans="1:11" x14ac:dyDescent="0.35">
      <c r="A692" s="23">
        <v>46067</v>
      </c>
      <c r="B692" s="19" t="str">
        <f t="shared" si="31"/>
        <v>febrero</v>
      </c>
      <c r="C692" s="19" t="str">
        <f t="shared" si="33"/>
        <v>2026</v>
      </c>
      <c r="D692" s="25" t="s">
        <v>207</v>
      </c>
      <c r="E692" s="25" t="s">
        <v>12</v>
      </c>
      <c r="F692" s="25" t="s">
        <v>168</v>
      </c>
      <c r="G692" s="24">
        <v>100</v>
      </c>
      <c r="H692" s="19" t="str">
        <f>IF(LEN(G692)=0,"",VLOOKUP(G692,Issues!A:D,2,FALSE))</f>
        <v>(100)  Alta</v>
      </c>
      <c r="I692" s="20" t="str">
        <f>IF(LEN(G692)=0,"",VLOOKUP(G692,Issues!A:D,3,FALSE))</f>
        <v>Alta con éxito.</v>
      </c>
      <c r="J692" s="19" t="str">
        <f>IF(LEN(G692)=0,"",VLOOKUP(G692,Issues!A:D,4,FALSE))</f>
        <v>Prueba OK</v>
      </c>
      <c r="K692" s="21" t="str">
        <f t="shared" si="32"/>
        <v>OK</v>
      </c>
    </row>
    <row r="693" spans="1:11" x14ac:dyDescent="0.35">
      <c r="A693" s="23">
        <v>46037</v>
      </c>
      <c r="B693" s="19" t="str">
        <f t="shared" si="31"/>
        <v>enero</v>
      </c>
      <c r="C693" s="19" t="str">
        <f t="shared" si="33"/>
        <v>2026</v>
      </c>
      <c r="D693" s="25" t="s">
        <v>207</v>
      </c>
      <c r="E693" s="25" t="s">
        <v>19</v>
      </c>
      <c r="F693" s="25" t="s">
        <v>186</v>
      </c>
      <c r="G693" s="24">
        <v>502</v>
      </c>
      <c r="H693" s="19" t="str">
        <f>IF(LEN(G693)=0,"",VLOOKUP(G693,Issues!A:D,2,FALSE))</f>
        <v>(500) Baja / Cancelacion</v>
      </c>
      <c r="I693" s="20" t="str">
        <f>IF(LEN(G693)=0,"",VLOOKUP(G693,Issues!A:D,3,FALSE))</f>
        <v>No entrega el mt de baja.</v>
      </c>
      <c r="J693" s="19" t="str">
        <f>IF(LEN(G693)=0,"",VLOOKUP(G693,Issues!A:D,4,FALSE))</f>
        <v>Critico</v>
      </c>
      <c r="K693" s="21" t="str">
        <f t="shared" si="32"/>
        <v>Issue</v>
      </c>
    </row>
    <row r="694" spans="1:11" x14ac:dyDescent="0.35">
      <c r="A694" s="23">
        <v>46039</v>
      </c>
      <c r="B694" s="19" t="str">
        <f t="shared" si="31"/>
        <v>enero</v>
      </c>
      <c r="C694" s="19" t="str">
        <f t="shared" si="33"/>
        <v>2026</v>
      </c>
      <c r="D694" s="25" t="s">
        <v>206</v>
      </c>
      <c r="E694" s="25" t="s">
        <v>13</v>
      </c>
      <c r="F694" s="25" t="s">
        <v>153</v>
      </c>
      <c r="G694" s="24">
        <v>300</v>
      </c>
      <c r="H694" s="19" t="str">
        <f>IF(LEN(G694)=0,"",VLOOKUP(G694,Issues!A:D,2,FALSE))</f>
        <v>(300) Cobros</v>
      </c>
      <c r="I694" s="20" t="str">
        <f>IF(LEN(G694)=0,"",VLOOKUP(G694,Issues!A:D,3,FALSE))</f>
        <v>Cobro en valor y forma correcto.</v>
      </c>
      <c r="J694" s="19" t="str">
        <f>IF(LEN(G694)=0,"",VLOOKUP(G694,Issues!A:D,4,FALSE))</f>
        <v>Prueba OK</v>
      </c>
      <c r="K694" s="21" t="str">
        <f t="shared" si="32"/>
        <v>OK</v>
      </c>
    </row>
    <row r="695" spans="1:11" x14ac:dyDescent="0.35">
      <c r="A695" s="23">
        <v>46135</v>
      </c>
      <c r="B695" s="19" t="str">
        <f t="shared" si="31"/>
        <v>abril</v>
      </c>
      <c r="C695" s="19" t="str">
        <f t="shared" si="33"/>
        <v>2026</v>
      </c>
      <c r="D695" s="25" t="s">
        <v>206</v>
      </c>
      <c r="E695" s="25" t="s">
        <v>10</v>
      </c>
      <c r="F695" s="25" t="s">
        <v>163</v>
      </c>
      <c r="G695" s="24">
        <v>109</v>
      </c>
      <c r="H695" s="19" t="str">
        <f>IF(LEN(G695)=0,"",VLOOKUP(G695,Issues!A:D,2,FALSE))</f>
        <v>(100)  Alta</v>
      </c>
      <c r="I695" s="20" t="str">
        <f>IF(LEN(G695)=0,"",VLOOKUP(G695,Issues!A:D,3,FALSE))</f>
        <v>Fallas en estructura o diseño de la lp.</v>
      </c>
      <c r="J695" s="19" t="str">
        <f>IF(LEN(G695)=0,"",VLOOKUP(G695,Issues!A:D,4,FALSE))</f>
        <v>Medio</v>
      </c>
      <c r="K695" s="21" t="str">
        <f t="shared" si="32"/>
        <v>Issue</v>
      </c>
    </row>
    <row r="696" spans="1:11" x14ac:dyDescent="0.35">
      <c r="A696" s="23">
        <v>46084</v>
      </c>
      <c r="B696" s="19" t="str">
        <f t="shared" si="31"/>
        <v>marzo</v>
      </c>
      <c r="C696" s="19" t="str">
        <f t="shared" si="33"/>
        <v>2026</v>
      </c>
      <c r="D696" s="25" t="s">
        <v>206</v>
      </c>
      <c r="E696" s="25" t="s">
        <v>24</v>
      </c>
      <c r="F696" s="25" t="s">
        <v>155</v>
      </c>
      <c r="G696" s="24">
        <v>300</v>
      </c>
      <c r="H696" s="19" t="str">
        <f>IF(LEN(G696)=0,"",VLOOKUP(G696,Issues!A:D,2,FALSE))</f>
        <v>(300) Cobros</v>
      </c>
      <c r="I696" s="20" t="str">
        <f>IF(LEN(G696)=0,"",VLOOKUP(G696,Issues!A:D,3,FALSE))</f>
        <v>Cobro en valor y forma correcto.</v>
      </c>
      <c r="J696" s="19" t="str">
        <f>IF(LEN(G696)=0,"",VLOOKUP(G696,Issues!A:D,4,FALSE))</f>
        <v>Prueba OK</v>
      </c>
      <c r="K696" s="21" t="str">
        <f t="shared" si="32"/>
        <v>OK</v>
      </c>
    </row>
    <row r="697" spans="1:11" x14ac:dyDescent="0.35">
      <c r="A697" s="23">
        <v>46124</v>
      </c>
      <c r="B697" s="19" t="str">
        <f t="shared" si="31"/>
        <v>abril</v>
      </c>
      <c r="C697" s="19" t="str">
        <f t="shared" si="33"/>
        <v>2026</v>
      </c>
      <c r="D697" s="25" t="s">
        <v>207</v>
      </c>
      <c r="E697" s="25" t="s">
        <v>16</v>
      </c>
      <c r="F697" s="25" t="s">
        <v>178</v>
      </c>
      <c r="G697" s="24">
        <v>500</v>
      </c>
      <c r="H697" s="19" t="str">
        <f>IF(LEN(G697)=0,"",VLOOKUP(G697,Issues!A:D,2,FALSE))</f>
        <v>(500) Baja / Cancelacion</v>
      </c>
      <c r="I697" s="20" t="str">
        <f>IF(LEN(G697)=0,"",VLOOKUP(G697,Issues!A:D,3,FALSE))</f>
        <v>Baja con éxito.</v>
      </c>
      <c r="J697" s="19" t="str">
        <f>IF(LEN(G697)=0,"",VLOOKUP(G697,Issues!A:D,4,FALSE))</f>
        <v>Prueba OK</v>
      </c>
      <c r="K697" s="21" t="str">
        <f t="shared" si="32"/>
        <v>OK</v>
      </c>
    </row>
    <row r="698" spans="1:11" x14ac:dyDescent="0.35">
      <c r="A698" s="23">
        <v>46055</v>
      </c>
      <c r="B698" s="19" t="str">
        <f t="shared" si="31"/>
        <v>febrero</v>
      </c>
      <c r="C698" s="19" t="str">
        <f t="shared" si="33"/>
        <v>2026</v>
      </c>
      <c r="D698" s="25" t="s">
        <v>206</v>
      </c>
      <c r="E698" s="25" t="s">
        <v>12</v>
      </c>
      <c r="F698" s="25" t="s">
        <v>169</v>
      </c>
      <c r="G698" s="24">
        <v>307</v>
      </c>
      <c r="H698" s="19" t="str">
        <f>IF(LEN(G698)=0,"",VLOOKUP(G698,Issues!A:D,2,FALSE))</f>
        <v>(300) Cobros</v>
      </c>
      <c r="I698" s="20" t="str">
        <f>IF(LEN(G698)=0,"",VLOOKUP(G698,Issues!A:D,3,FALSE))</f>
        <v>Inconsistencias con el cobro escalonado.</v>
      </c>
      <c r="J698" s="19" t="str">
        <f>IF(LEN(G698)=0,"",VLOOKUP(G698,Issues!A:D,4,FALSE))</f>
        <v>Critico</v>
      </c>
      <c r="K698" s="21" t="str">
        <f t="shared" si="32"/>
        <v>Issue</v>
      </c>
    </row>
    <row r="699" spans="1:11" x14ac:dyDescent="0.35">
      <c r="A699" s="23">
        <v>46064</v>
      </c>
      <c r="B699" s="19" t="str">
        <f t="shared" si="31"/>
        <v>febrero</v>
      </c>
      <c r="C699" s="19" t="str">
        <f t="shared" si="33"/>
        <v>2026</v>
      </c>
      <c r="D699" s="25" t="s">
        <v>206</v>
      </c>
      <c r="E699" s="25" t="s">
        <v>10</v>
      </c>
      <c r="F699" s="25" t="s">
        <v>161</v>
      </c>
      <c r="G699" s="24">
        <v>200</v>
      </c>
      <c r="H699" s="19" t="str">
        <f>IF(LEN(G699)=0,"",VLOOKUP(G699,Issues!A:D,2,FALSE))</f>
        <v>(200) Contenidos</v>
      </c>
      <c r="I699" s="20" t="str">
        <f>IF(LEN(G699)=0,"",VLOOKUP(G699,Issues!A:D,3,FALSE))</f>
        <v>Contenidos recibido con éxito.</v>
      </c>
      <c r="J699" s="19" t="str">
        <f>IF(LEN(G699)=0,"",VLOOKUP(G699,Issues!A:D,4,FALSE))</f>
        <v>Prueba OK</v>
      </c>
      <c r="K699" s="21" t="str">
        <f t="shared" si="32"/>
        <v>OK</v>
      </c>
    </row>
    <row r="700" spans="1:11" x14ac:dyDescent="0.35">
      <c r="A700" s="23">
        <v>46073</v>
      </c>
      <c r="B700" s="19" t="str">
        <f t="shared" si="31"/>
        <v>febrero</v>
      </c>
      <c r="C700" s="19" t="str">
        <f t="shared" si="33"/>
        <v>2026</v>
      </c>
      <c r="D700" s="25" t="s">
        <v>207</v>
      </c>
      <c r="E700" s="25" t="s">
        <v>17</v>
      </c>
      <c r="F700" s="25" t="s">
        <v>181</v>
      </c>
      <c r="G700" s="24">
        <v>504</v>
      </c>
      <c r="H700" s="19" t="str">
        <f>IF(LEN(G700)=0,"",VLOOKUP(G700,Issues!A:D,2,FALSE))</f>
        <v>(500) Baja / Cancelacion</v>
      </c>
      <c r="I700" s="20" t="str">
        <f>IF(LEN(G700)=0,"",VLOOKUP(G700,Issues!A:D,3,FALSE))</f>
        <v>No funciona la baja desde la lp.</v>
      </c>
      <c r="J700" s="19" t="str">
        <f>IF(LEN(G700)=0,"",VLOOKUP(G700,Issues!A:D,4,FALSE))</f>
        <v>Critico</v>
      </c>
      <c r="K700" s="21" t="str">
        <f t="shared" si="32"/>
        <v>Issue</v>
      </c>
    </row>
    <row r="701" spans="1:11" x14ac:dyDescent="0.35">
      <c r="A701" s="23">
        <v>46096</v>
      </c>
      <c r="B701" s="19" t="str">
        <f t="shared" si="31"/>
        <v>marzo</v>
      </c>
      <c r="C701" s="19" t="str">
        <f t="shared" si="33"/>
        <v>2026</v>
      </c>
      <c r="D701" s="25" t="s">
        <v>207</v>
      </c>
      <c r="E701" s="25" t="s">
        <v>18</v>
      </c>
      <c r="F701" s="25" t="s">
        <v>183</v>
      </c>
      <c r="G701" s="24">
        <v>114</v>
      </c>
      <c r="H701" s="19" t="str">
        <f>IF(LEN(G701)=0,"",VLOOKUP(G701,Issues!A:D,2,FALSE))</f>
        <v>(100)  Alta</v>
      </c>
      <c r="I701" s="20" t="str">
        <f>IF(LEN(G701)=0,"",VLOOKUP(G701,Issues!A:D,3,FALSE))</f>
        <v>Falla en doble optin en sim.</v>
      </c>
      <c r="J701" s="19" t="str">
        <f>IF(LEN(G701)=0,"",VLOOKUP(G701,Issues!A:D,4,FALSE))</f>
        <v>Critico</v>
      </c>
      <c r="K701" s="21" t="str">
        <f t="shared" si="32"/>
        <v>Issue</v>
      </c>
    </row>
    <row r="702" spans="1:11" x14ac:dyDescent="0.35">
      <c r="A702" s="23">
        <v>46133</v>
      </c>
      <c r="B702" s="19" t="str">
        <f t="shared" si="31"/>
        <v>abril</v>
      </c>
      <c r="C702" s="19" t="str">
        <f t="shared" si="33"/>
        <v>2026</v>
      </c>
      <c r="D702" s="25" t="s">
        <v>204</v>
      </c>
      <c r="E702" s="25" t="s">
        <v>14</v>
      </c>
      <c r="F702" s="25" t="s">
        <v>170</v>
      </c>
      <c r="G702" s="24">
        <v>208</v>
      </c>
      <c r="H702" s="19" t="str">
        <f>IF(LEN(G702)=0,"",VLOOKUP(G702,Issues!A:D,2,FALSE))</f>
        <v>(200) Contenidos</v>
      </c>
      <c r="I702" s="20" t="str">
        <f>IF(LEN(G702)=0,"",VLOOKUP(G702,Issues!A:D,3,FALSE))</f>
        <v>No cumple las politicas de estructura del operador.</v>
      </c>
      <c r="J702" s="19" t="str">
        <f>IF(LEN(G702)=0,"",VLOOKUP(G702,Issues!A:D,4,FALSE))</f>
        <v>Critico</v>
      </c>
      <c r="K702" s="21" t="str">
        <f t="shared" si="32"/>
        <v>Issue</v>
      </c>
    </row>
    <row r="703" spans="1:11" x14ac:dyDescent="0.35">
      <c r="A703" s="23">
        <v>46113</v>
      </c>
      <c r="B703" s="19" t="str">
        <f t="shared" si="31"/>
        <v>abril</v>
      </c>
      <c r="C703" s="19" t="str">
        <f t="shared" si="33"/>
        <v>2026</v>
      </c>
      <c r="D703" s="25" t="s">
        <v>208</v>
      </c>
      <c r="E703" s="25" t="s">
        <v>14</v>
      </c>
      <c r="F703" s="25" t="s">
        <v>170</v>
      </c>
      <c r="G703" s="24">
        <v>400</v>
      </c>
      <c r="H703" s="19" t="str">
        <f>IF(LEN(G703)=0,"",VLOOKUP(G703,Issues!A:D,2,FALSE))</f>
        <v>(400) Portales / Web-App</v>
      </c>
      <c r="I703" s="20" t="str">
        <f>IF(LEN(G703)=0,"",VLOOKUP(G703,Issues!A:D,3,FALSE))</f>
        <v>Portal evaluado con éxito.</v>
      </c>
      <c r="J703" s="19" t="str">
        <f>IF(LEN(G703)=0,"",VLOOKUP(G703,Issues!A:D,4,FALSE))</f>
        <v>Prueba OK</v>
      </c>
      <c r="K703" s="21" t="str">
        <f t="shared" si="32"/>
        <v>OK</v>
      </c>
    </row>
    <row r="704" spans="1:11" x14ac:dyDescent="0.35">
      <c r="A704" s="23">
        <v>46120</v>
      </c>
      <c r="B704" s="19" t="str">
        <f t="shared" si="31"/>
        <v>abril</v>
      </c>
      <c r="C704" s="19" t="str">
        <f t="shared" si="33"/>
        <v>2026</v>
      </c>
      <c r="D704" s="25" t="s">
        <v>206</v>
      </c>
      <c r="E704" s="25" t="s">
        <v>16</v>
      </c>
      <c r="F704" s="25" t="s">
        <v>177</v>
      </c>
      <c r="G704" s="24">
        <v>801</v>
      </c>
      <c r="H704" s="19" t="str">
        <f>IF(LEN(G704)=0,"",VLOOKUP(G704,Issues!A:D,2,FALSE))</f>
        <v>(800) Politicas especiales operadores</v>
      </c>
      <c r="I704" s="20" t="str">
        <f>IF(LEN(G704)=0,"",VLOOKUP(G704,Issues!A:D,3,FALSE))</f>
        <v>No da respuesta a kw regulatorio.</v>
      </c>
      <c r="J704" s="19" t="str">
        <f>IF(LEN(G704)=0,"",VLOOKUP(G704,Issues!A:D,4,FALSE))</f>
        <v>Critico</v>
      </c>
      <c r="K704" s="21" t="str">
        <f t="shared" si="32"/>
        <v>Issue</v>
      </c>
    </row>
    <row r="705" spans="1:11" x14ac:dyDescent="0.35">
      <c r="A705" s="23">
        <v>46065</v>
      </c>
      <c r="B705" s="19" t="str">
        <f t="shared" si="31"/>
        <v>febrero</v>
      </c>
      <c r="C705" s="19" t="str">
        <f t="shared" si="33"/>
        <v>2026</v>
      </c>
      <c r="D705" s="25" t="s">
        <v>207</v>
      </c>
      <c r="E705" s="25" t="s">
        <v>19</v>
      </c>
      <c r="F705" s="25" t="s">
        <v>186</v>
      </c>
      <c r="G705" s="24">
        <v>109</v>
      </c>
      <c r="H705" s="19" t="str">
        <f>IF(LEN(G705)=0,"",VLOOKUP(G705,Issues!A:D,2,FALSE))</f>
        <v>(100)  Alta</v>
      </c>
      <c r="I705" s="20" t="str">
        <f>IF(LEN(G705)=0,"",VLOOKUP(G705,Issues!A:D,3,FALSE))</f>
        <v>Fallas en estructura o diseño de la lp.</v>
      </c>
      <c r="J705" s="19" t="str">
        <f>IF(LEN(G705)=0,"",VLOOKUP(G705,Issues!A:D,4,FALSE))</f>
        <v>Medio</v>
      </c>
      <c r="K705" s="21" t="str">
        <f t="shared" si="32"/>
        <v>Issue</v>
      </c>
    </row>
    <row r="706" spans="1:11" x14ac:dyDescent="0.35">
      <c r="A706" s="23">
        <v>46070</v>
      </c>
      <c r="B706" s="19" t="str">
        <f t="shared" si="31"/>
        <v>febrero</v>
      </c>
      <c r="C706" s="19" t="str">
        <f t="shared" si="33"/>
        <v>2026</v>
      </c>
      <c r="D706" s="25" t="s">
        <v>207</v>
      </c>
      <c r="E706" s="25" t="s">
        <v>18</v>
      </c>
      <c r="F706" s="25" t="s">
        <v>182</v>
      </c>
      <c r="G706" s="24">
        <v>107</v>
      </c>
      <c r="H706" s="19" t="str">
        <f>IF(LEN(G706)=0,"",VLOOKUP(G706,Issues!A:D,2,FALSE))</f>
        <v>(100)  Alta</v>
      </c>
      <c r="I706" s="20" t="str">
        <f>IF(LEN(G706)=0,"",VLOOKUP(G706,Issues!A:D,3,FALSE))</f>
        <v>Falla en lp de suscripción wap - header enrichment.</v>
      </c>
      <c r="J706" s="19" t="str">
        <f>IF(LEN(G706)=0,"",VLOOKUP(G706,Issues!A:D,4,FALSE))</f>
        <v>Critico</v>
      </c>
      <c r="K706" s="21" t="str">
        <f t="shared" si="32"/>
        <v>Issue</v>
      </c>
    </row>
    <row r="707" spans="1:11" x14ac:dyDescent="0.35">
      <c r="A707" s="23">
        <v>46038</v>
      </c>
      <c r="B707" s="19" t="str">
        <f t="shared" ref="B707:B770" si="34">IF(LEN(A707)=0,"",TEXT(A707,"mmmm"))</f>
        <v>enero</v>
      </c>
      <c r="C707" s="19" t="str">
        <f t="shared" si="33"/>
        <v>2026</v>
      </c>
      <c r="D707" s="25" t="s">
        <v>207</v>
      </c>
      <c r="E707" s="25" t="s">
        <v>10</v>
      </c>
      <c r="F707" s="25" t="s">
        <v>163</v>
      </c>
      <c r="G707" s="24">
        <v>800</v>
      </c>
      <c r="H707" s="19" t="str">
        <f>IF(LEN(G707)=0,"",VLOOKUP(G707,Issues!A:D,2,FALSE))</f>
        <v>(800) Politicas especiales operadores</v>
      </c>
      <c r="I707" s="20" t="str">
        <f>IF(LEN(G707)=0,"",VLOOKUP(G707,Issues!A:D,3,FALSE))</f>
        <v>Politicas de los operadores cumplidas.</v>
      </c>
      <c r="J707" s="19" t="str">
        <f>IF(LEN(G707)=0,"",VLOOKUP(G707,Issues!A:D,4,FALSE))</f>
        <v>Prueba OK</v>
      </c>
      <c r="K707" s="21" t="str">
        <f t="shared" ref="K707:K770" si="35">IF(LEN(G707)=0,"",IF(OR(J707="critico",J707="Medio",J707="Bajo"),"Issue",IF(J707="Prueba OK","OK","")))</f>
        <v>OK</v>
      </c>
    </row>
    <row r="708" spans="1:11" x14ac:dyDescent="0.35">
      <c r="A708" s="23">
        <v>46124</v>
      </c>
      <c r="B708" s="19" t="str">
        <f t="shared" si="34"/>
        <v>abril</v>
      </c>
      <c r="C708" s="19" t="str">
        <f t="shared" si="33"/>
        <v>2026</v>
      </c>
      <c r="D708" s="25" t="s">
        <v>207</v>
      </c>
      <c r="E708" s="25" t="s">
        <v>12</v>
      </c>
      <c r="F708" s="25" t="s">
        <v>169</v>
      </c>
      <c r="G708" s="24">
        <v>400</v>
      </c>
      <c r="H708" s="19" t="str">
        <f>IF(LEN(G708)=0,"",VLOOKUP(G708,Issues!A:D,2,FALSE))</f>
        <v>(400) Portales / Web-App</v>
      </c>
      <c r="I708" s="20" t="str">
        <f>IF(LEN(G708)=0,"",VLOOKUP(G708,Issues!A:D,3,FALSE))</f>
        <v>Portal evaluado con éxito.</v>
      </c>
      <c r="J708" s="19" t="str">
        <f>IF(LEN(G708)=0,"",VLOOKUP(G708,Issues!A:D,4,FALSE))</f>
        <v>Prueba OK</v>
      </c>
      <c r="K708" s="21" t="str">
        <f t="shared" si="35"/>
        <v>OK</v>
      </c>
    </row>
    <row r="709" spans="1:11" x14ac:dyDescent="0.35">
      <c r="A709" s="23">
        <v>46144</v>
      </c>
      <c r="B709" s="19" t="str">
        <f t="shared" si="34"/>
        <v>mayo</v>
      </c>
      <c r="C709" s="19" t="str">
        <f t="shared" si="33"/>
        <v>2026</v>
      </c>
      <c r="D709" s="25" t="s">
        <v>208</v>
      </c>
      <c r="E709" s="25" t="s">
        <v>22</v>
      </c>
      <c r="F709" s="25" t="s">
        <v>150</v>
      </c>
      <c r="G709" s="24">
        <v>404</v>
      </c>
      <c r="H709" s="19" t="str">
        <f>IF(LEN(G709)=0,"",VLOOKUP(G709,Issues!A:D,2,FALSE))</f>
        <v>(400) Portales / Web-App</v>
      </c>
      <c r="I709" s="20" t="str">
        <f>IF(LEN(G709)=0,"",VLOOKUP(G709,Issues!A:D,3,FALSE))</f>
        <v>No cumple las politicas de estructura del operador.</v>
      </c>
      <c r="J709" s="19" t="str">
        <f>IF(LEN(G709)=0,"",VLOOKUP(G709,Issues!A:D,4,FALSE))</f>
        <v>Critico</v>
      </c>
      <c r="K709" s="21" t="str">
        <f t="shared" si="35"/>
        <v>Issue</v>
      </c>
    </row>
    <row r="710" spans="1:11" x14ac:dyDescent="0.35">
      <c r="A710" s="23">
        <v>46148</v>
      </c>
      <c r="B710" s="19" t="str">
        <f t="shared" si="34"/>
        <v>mayo</v>
      </c>
      <c r="C710" s="19" t="str">
        <f t="shared" si="33"/>
        <v>2026</v>
      </c>
      <c r="D710" s="25" t="s">
        <v>206</v>
      </c>
      <c r="E710" s="25" t="s">
        <v>15</v>
      </c>
      <c r="F710" s="25" t="s">
        <v>175</v>
      </c>
      <c r="G710" s="24">
        <v>402</v>
      </c>
      <c r="H710" s="19" t="str">
        <f>IF(LEN(G710)=0,"",VLOOKUP(G710,Issues!A:D,2,FALSE))</f>
        <v>(400) Portales / Web-App</v>
      </c>
      <c r="I710" s="20" t="str">
        <f>IF(LEN(G710)=0,"",VLOOKUP(G710,Issues!A:D,3,FALSE))</f>
        <v>Portal / web-app caida.</v>
      </c>
      <c r="J710" s="19" t="str">
        <f>IF(LEN(G710)=0,"",VLOOKUP(G710,Issues!A:D,4,FALSE))</f>
        <v>Critico</v>
      </c>
      <c r="K710" s="21" t="str">
        <f t="shared" si="35"/>
        <v>Issue</v>
      </c>
    </row>
    <row r="711" spans="1:11" x14ac:dyDescent="0.35">
      <c r="A711" s="23">
        <v>46148</v>
      </c>
      <c r="B711" s="19" t="str">
        <f t="shared" si="34"/>
        <v>mayo</v>
      </c>
      <c r="C711" s="19" t="str">
        <f t="shared" si="33"/>
        <v>2026</v>
      </c>
      <c r="D711" s="25" t="s">
        <v>207</v>
      </c>
      <c r="E711" s="25" t="s">
        <v>10</v>
      </c>
      <c r="F711" s="25" t="s">
        <v>161</v>
      </c>
      <c r="G711" s="24">
        <v>408</v>
      </c>
      <c r="H711" s="19" t="str">
        <f>IF(LEN(G711)=0,"",VLOOKUP(G711,Issues!A:D,2,FALSE))</f>
        <v>(400) Portales / Web-App</v>
      </c>
      <c r="I711" s="20" t="str">
        <f>IF(LEN(G711)=0,"",VLOOKUP(G711,Issues!A:D,3,FALSE))</f>
        <v>Inconsistencias en los t&amp;c del portal / web-app.</v>
      </c>
      <c r="J711" s="19" t="str">
        <f>IF(LEN(G711)=0,"",VLOOKUP(G711,Issues!A:D,4,FALSE))</f>
        <v>Critico</v>
      </c>
      <c r="K711" s="21" t="str">
        <f t="shared" si="35"/>
        <v>Issue</v>
      </c>
    </row>
    <row r="712" spans="1:11" x14ac:dyDescent="0.35">
      <c r="A712" s="23">
        <v>46147</v>
      </c>
      <c r="B712" s="19" t="str">
        <f t="shared" si="34"/>
        <v>mayo</v>
      </c>
      <c r="C712" s="19" t="str">
        <f t="shared" si="33"/>
        <v>2026</v>
      </c>
      <c r="D712" s="25" t="s">
        <v>206</v>
      </c>
      <c r="E712" s="25" t="s">
        <v>21</v>
      </c>
      <c r="F712" s="25" t="s">
        <v>193</v>
      </c>
      <c r="G712" s="24">
        <v>300</v>
      </c>
      <c r="H712" s="19" t="str">
        <f>IF(LEN(G712)=0,"",VLOOKUP(G712,Issues!A:D,2,FALSE))</f>
        <v>(300) Cobros</v>
      </c>
      <c r="I712" s="20" t="str">
        <f>IF(LEN(G712)=0,"",VLOOKUP(G712,Issues!A:D,3,FALSE))</f>
        <v>Cobro en valor y forma correcto.</v>
      </c>
      <c r="J712" s="19" t="str">
        <f>IF(LEN(G712)=0,"",VLOOKUP(G712,Issues!A:D,4,FALSE))</f>
        <v>Prueba OK</v>
      </c>
      <c r="K712" s="21" t="str">
        <f t="shared" si="35"/>
        <v>OK</v>
      </c>
    </row>
    <row r="713" spans="1:11" x14ac:dyDescent="0.35">
      <c r="A713" s="23">
        <v>46059</v>
      </c>
      <c r="B713" s="19" t="str">
        <f t="shared" si="34"/>
        <v>febrero</v>
      </c>
      <c r="C713" s="19" t="str">
        <f t="shared" si="33"/>
        <v>2026</v>
      </c>
      <c r="D713" s="25" t="s">
        <v>206</v>
      </c>
      <c r="E713" s="25" t="s">
        <v>17</v>
      </c>
      <c r="F713" s="25" t="s">
        <v>181</v>
      </c>
      <c r="G713" s="24">
        <v>700</v>
      </c>
      <c r="H713" s="19" t="str">
        <f>IF(LEN(G713)=0,"",VLOOKUP(G713,Issues!A:D,2,FALSE))</f>
        <v>(700) Interaccion MO/MT (On Demand)</v>
      </c>
      <c r="I713" s="20" t="str">
        <f>IF(LEN(G713)=0,"",VLOOKUP(G713,Issues!A:D,3,FALSE))</f>
        <v>Flujo MO/MT con éxito.</v>
      </c>
      <c r="J713" s="19" t="str">
        <f>IF(LEN(G713)=0,"",VLOOKUP(G713,Issues!A:D,4,FALSE))</f>
        <v>Prueba OK</v>
      </c>
      <c r="K713" s="21" t="str">
        <f t="shared" si="35"/>
        <v>OK</v>
      </c>
    </row>
    <row r="714" spans="1:11" x14ac:dyDescent="0.35">
      <c r="A714" s="23">
        <v>46101</v>
      </c>
      <c r="B714" s="19" t="str">
        <f t="shared" si="34"/>
        <v>marzo</v>
      </c>
      <c r="C714" s="19" t="str">
        <f t="shared" si="33"/>
        <v>2026</v>
      </c>
      <c r="D714" s="25" t="s">
        <v>206</v>
      </c>
      <c r="E714" s="25" t="s">
        <v>25</v>
      </c>
      <c r="F714" s="25" t="s">
        <v>198</v>
      </c>
      <c r="G714" s="24">
        <v>113</v>
      </c>
      <c r="H714" s="19" t="str">
        <f>IF(LEN(G714)=0,"",VLOOKUP(G714,Issues!A:D,2,FALSE))</f>
        <v>(100)  Alta</v>
      </c>
      <c r="I714" s="20" t="str">
        <f>IF(LEN(G714)=0,"",VLOOKUP(G714,Issues!A:D,3,FALSE))</f>
        <v>Servicio suspendido.</v>
      </c>
      <c r="J714" s="19" t="str">
        <f>IF(LEN(G714)=0,"",VLOOKUP(G714,Issues!A:D,4,FALSE))</f>
        <v>Medio</v>
      </c>
      <c r="K714" s="21" t="str">
        <f t="shared" si="35"/>
        <v>Issue</v>
      </c>
    </row>
    <row r="715" spans="1:11" x14ac:dyDescent="0.35">
      <c r="A715" s="23">
        <v>46139</v>
      </c>
      <c r="B715" s="19" t="str">
        <f t="shared" si="34"/>
        <v>abril</v>
      </c>
      <c r="C715" s="19" t="str">
        <f t="shared" si="33"/>
        <v>2026</v>
      </c>
      <c r="D715" s="25" t="s">
        <v>206</v>
      </c>
      <c r="E715" s="25" t="s">
        <v>12</v>
      </c>
      <c r="F715" s="25" t="s">
        <v>169</v>
      </c>
      <c r="G715" s="24">
        <v>400</v>
      </c>
      <c r="H715" s="19" t="str">
        <f>IF(LEN(G715)=0,"",VLOOKUP(G715,Issues!A:D,2,FALSE))</f>
        <v>(400) Portales / Web-App</v>
      </c>
      <c r="I715" s="20" t="str">
        <f>IF(LEN(G715)=0,"",VLOOKUP(G715,Issues!A:D,3,FALSE))</f>
        <v>Portal evaluado con éxito.</v>
      </c>
      <c r="J715" s="19" t="str">
        <f>IF(LEN(G715)=0,"",VLOOKUP(G715,Issues!A:D,4,FALSE))</f>
        <v>Prueba OK</v>
      </c>
      <c r="K715" s="21" t="str">
        <f t="shared" si="35"/>
        <v>OK</v>
      </c>
    </row>
    <row r="716" spans="1:11" x14ac:dyDescent="0.35">
      <c r="A716" s="23">
        <v>46106</v>
      </c>
      <c r="B716" s="19" t="str">
        <f t="shared" si="34"/>
        <v>marzo</v>
      </c>
      <c r="C716" s="19" t="str">
        <f t="shared" si="33"/>
        <v>2026</v>
      </c>
      <c r="D716" s="25" t="s">
        <v>206</v>
      </c>
      <c r="E716" s="25" t="s">
        <v>26</v>
      </c>
      <c r="F716" s="25" t="s">
        <v>156</v>
      </c>
      <c r="G716" s="24">
        <v>304</v>
      </c>
      <c r="H716" s="19" t="str">
        <f>IF(LEN(G716)=0,"",VLOOKUP(G716,Issues!A:D,2,FALSE))</f>
        <v>(300) Cobros</v>
      </c>
      <c r="I716" s="20" t="str">
        <f>IF(LEN(G716)=0,"",VLOOKUP(G716,Issues!A:D,3,FALSE))</f>
        <v>Cobro valor diferente al autorizado.</v>
      </c>
      <c r="J716" s="19" t="str">
        <f>IF(LEN(G716)=0,"",VLOOKUP(G716,Issues!A:D,4,FALSE))</f>
        <v>Critico</v>
      </c>
      <c r="K716" s="21" t="str">
        <f t="shared" si="35"/>
        <v>Issue</v>
      </c>
    </row>
    <row r="717" spans="1:11" x14ac:dyDescent="0.35">
      <c r="A717" s="23">
        <v>46144</v>
      </c>
      <c r="B717" s="19" t="str">
        <f t="shared" si="34"/>
        <v>mayo</v>
      </c>
      <c r="C717" s="19" t="str">
        <f t="shared" si="33"/>
        <v>2026</v>
      </c>
      <c r="D717" s="25" t="s">
        <v>206</v>
      </c>
      <c r="E717" s="25" t="s">
        <v>19</v>
      </c>
      <c r="F717" s="25" t="s">
        <v>186</v>
      </c>
      <c r="G717" s="24">
        <v>204</v>
      </c>
      <c r="H717" s="19" t="str">
        <f>IF(LEN(G717)=0,"",VLOOKUP(G717,Issues!A:D,2,FALSE))</f>
        <v>(200) Contenidos</v>
      </c>
      <c r="I717" s="20" t="str">
        <f>IF(LEN(G717)=0,"",VLOOKUP(G717,Issues!A:D,3,FALSE))</f>
        <v>Error/inconsistencia en t&amp;c en sms.</v>
      </c>
      <c r="J717" s="19" t="str">
        <f>IF(LEN(G717)=0,"",VLOOKUP(G717,Issues!A:D,4,FALSE))</f>
        <v>Critico</v>
      </c>
      <c r="K717" s="21" t="str">
        <f t="shared" si="35"/>
        <v>Issue</v>
      </c>
    </row>
    <row r="718" spans="1:11" x14ac:dyDescent="0.35">
      <c r="A718" s="23">
        <v>46069</v>
      </c>
      <c r="B718" s="19" t="str">
        <f t="shared" si="34"/>
        <v>febrero</v>
      </c>
      <c r="C718" s="19" t="str">
        <f t="shared" si="33"/>
        <v>2026</v>
      </c>
      <c r="D718" s="25" t="s">
        <v>208</v>
      </c>
      <c r="E718" s="25" t="s">
        <v>24</v>
      </c>
      <c r="F718" s="25" t="s">
        <v>155</v>
      </c>
      <c r="G718" s="24">
        <v>107</v>
      </c>
      <c r="H718" s="19" t="str">
        <f>IF(LEN(G718)=0,"",VLOOKUP(G718,Issues!A:D,2,FALSE))</f>
        <v>(100)  Alta</v>
      </c>
      <c r="I718" s="20" t="str">
        <f>IF(LEN(G718)=0,"",VLOOKUP(G718,Issues!A:D,3,FALSE))</f>
        <v>Falla en lp de suscripción wap - header enrichment.</v>
      </c>
      <c r="J718" s="19" t="str">
        <f>IF(LEN(G718)=0,"",VLOOKUP(G718,Issues!A:D,4,FALSE))</f>
        <v>Critico</v>
      </c>
      <c r="K718" s="21" t="str">
        <f t="shared" si="35"/>
        <v>Issue</v>
      </c>
    </row>
    <row r="719" spans="1:11" x14ac:dyDescent="0.35">
      <c r="A719" s="23">
        <v>46058</v>
      </c>
      <c r="B719" s="19" t="str">
        <f t="shared" si="34"/>
        <v>febrero</v>
      </c>
      <c r="C719" s="19" t="str">
        <f t="shared" si="33"/>
        <v>2026</v>
      </c>
      <c r="D719" s="25" t="s">
        <v>208</v>
      </c>
      <c r="E719" s="25" t="s">
        <v>14</v>
      </c>
      <c r="F719" s="25" t="s">
        <v>170</v>
      </c>
      <c r="G719" s="24">
        <v>113</v>
      </c>
      <c r="H719" s="19" t="str">
        <f>IF(LEN(G719)=0,"",VLOOKUP(G719,Issues!A:D,2,FALSE))</f>
        <v>(100)  Alta</v>
      </c>
      <c r="I719" s="20" t="str">
        <f>IF(LEN(G719)=0,"",VLOOKUP(G719,Issues!A:D,3,FALSE))</f>
        <v>Servicio suspendido.</v>
      </c>
      <c r="J719" s="19" t="str">
        <f>IF(LEN(G719)=0,"",VLOOKUP(G719,Issues!A:D,4,FALSE))</f>
        <v>Medio</v>
      </c>
      <c r="K719" s="21" t="str">
        <f t="shared" si="35"/>
        <v>Issue</v>
      </c>
    </row>
    <row r="720" spans="1:11" x14ac:dyDescent="0.35">
      <c r="A720" s="23">
        <v>46068</v>
      </c>
      <c r="B720" s="19" t="str">
        <f t="shared" si="34"/>
        <v>febrero</v>
      </c>
      <c r="C720" s="19" t="str">
        <f t="shared" si="33"/>
        <v>2026</v>
      </c>
      <c r="D720" s="25" t="s">
        <v>206</v>
      </c>
      <c r="E720" s="25" t="s">
        <v>18</v>
      </c>
      <c r="F720" s="25" t="s">
        <v>183</v>
      </c>
      <c r="G720" s="24">
        <v>700</v>
      </c>
      <c r="H720" s="19" t="str">
        <f>IF(LEN(G720)=0,"",VLOOKUP(G720,Issues!A:D,2,FALSE))</f>
        <v>(700) Interaccion MO/MT (On Demand)</v>
      </c>
      <c r="I720" s="20" t="str">
        <f>IF(LEN(G720)=0,"",VLOOKUP(G720,Issues!A:D,3,FALSE))</f>
        <v>Flujo MO/MT con éxito.</v>
      </c>
      <c r="J720" s="19" t="str">
        <f>IF(LEN(G720)=0,"",VLOOKUP(G720,Issues!A:D,4,FALSE))</f>
        <v>Prueba OK</v>
      </c>
      <c r="K720" s="21" t="str">
        <f t="shared" si="35"/>
        <v>OK</v>
      </c>
    </row>
    <row r="721" spans="1:11" x14ac:dyDescent="0.35">
      <c r="A721" s="23">
        <v>46107</v>
      </c>
      <c r="B721" s="19" t="str">
        <f t="shared" si="34"/>
        <v>marzo</v>
      </c>
      <c r="C721" s="19" t="str">
        <f t="shared" si="33"/>
        <v>2026</v>
      </c>
      <c r="D721" s="25" t="s">
        <v>208</v>
      </c>
      <c r="E721" s="25" t="s">
        <v>18</v>
      </c>
      <c r="F721" s="25" t="s">
        <v>184</v>
      </c>
      <c r="G721" s="24">
        <v>700</v>
      </c>
      <c r="H721" s="19" t="str">
        <f>IF(LEN(G721)=0,"",VLOOKUP(G721,Issues!A:D,2,FALSE))</f>
        <v>(700) Interaccion MO/MT (On Demand)</v>
      </c>
      <c r="I721" s="20" t="str">
        <f>IF(LEN(G721)=0,"",VLOOKUP(G721,Issues!A:D,3,FALSE))</f>
        <v>Flujo MO/MT con éxito.</v>
      </c>
      <c r="J721" s="19" t="str">
        <f>IF(LEN(G721)=0,"",VLOOKUP(G721,Issues!A:D,4,FALSE))</f>
        <v>Prueba OK</v>
      </c>
      <c r="K721" s="21" t="str">
        <f t="shared" si="35"/>
        <v>OK</v>
      </c>
    </row>
    <row r="722" spans="1:11" x14ac:dyDescent="0.35">
      <c r="A722" s="23">
        <v>46037</v>
      </c>
      <c r="B722" s="19" t="str">
        <f t="shared" si="34"/>
        <v>enero</v>
      </c>
      <c r="C722" s="19" t="str">
        <f t="shared" si="33"/>
        <v>2026</v>
      </c>
      <c r="D722" s="25" t="s">
        <v>207</v>
      </c>
      <c r="E722" s="25" t="s">
        <v>21</v>
      </c>
      <c r="F722" s="25" t="s">
        <v>192</v>
      </c>
      <c r="G722" s="24">
        <v>302</v>
      </c>
      <c r="H722" s="19" t="str">
        <f>IF(LEN(G722)=0,"",VLOOKUP(G722,Issues!A:D,2,FALSE))</f>
        <v>(300) Cobros</v>
      </c>
      <c r="I722" s="20" t="str">
        <f>IF(LEN(G722)=0,"",VLOOKUP(G722,Issues!A:D,3,FALSE))</f>
        <v>No llego contenido (no hubo cobro).</v>
      </c>
      <c r="J722" s="19" t="str">
        <f>IF(LEN(G722)=0,"",VLOOKUP(G722,Issues!A:D,4,FALSE))</f>
        <v>Critico</v>
      </c>
      <c r="K722" s="21" t="str">
        <f t="shared" si="35"/>
        <v>Issue</v>
      </c>
    </row>
    <row r="723" spans="1:11" x14ac:dyDescent="0.35">
      <c r="A723" s="23">
        <v>46112</v>
      </c>
      <c r="B723" s="19" t="str">
        <f t="shared" si="34"/>
        <v>marzo</v>
      </c>
      <c r="C723" s="19" t="str">
        <f t="shared" ref="C723:C786" si="36">IF(LEN(A723)=0,"",TEXT(A723,"aaaa"))</f>
        <v>2026</v>
      </c>
      <c r="D723" s="25" t="s">
        <v>207</v>
      </c>
      <c r="E723" s="25" t="s">
        <v>12</v>
      </c>
      <c r="F723" s="25" t="s">
        <v>167</v>
      </c>
      <c r="G723" s="24">
        <v>300</v>
      </c>
      <c r="H723" s="19" t="str">
        <f>IF(LEN(G723)=0,"",VLOOKUP(G723,Issues!A:D,2,FALSE))</f>
        <v>(300) Cobros</v>
      </c>
      <c r="I723" s="20" t="str">
        <f>IF(LEN(G723)=0,"",VLOOKUP(G723,Issues!A:D,3,FALSE))</f>
        <v>Cobro en valor y forma correcto.</v>
      </c>
      <c r="J723" s="19" t="str">
        <f>IF(LEN(G723)=0,"",VLOOKUP(G723,Issues!A:D,4,FALSE))</f>
        <v>Prueba OK</v>
      </c>
      <c r="K723" s="21" t="str">
        <f t="shared" si="35"/>
        <v>OK</v>
      </c>
    </row>
    <row r="724" spans="1:11" x14ac:dyDescent="0.35">
      <c r="A724" s="23">
        <v>46150</v>
      </c>
      <c r="B724" s="19" t="str">
        <f t="shared" si="34"/>
        <v>mayo</v>
      </c>
      <c r="C724" s="19" t="str">
        <f t="shared" si="36"/>
        <v>2026</v>
      </c>
      <c r="D724" s="25" t="s">
        <v>206</v>
      </c>
      <c r="E724" s="25" t="s">
        <v>15</v>
      </c>
      <c r="F724" s="25" t="s">
        <v>174</v>
      </c>
      <c r="G724" s="24">
        <v>204</v>
      </c>
      <c r="H724" s="19" t="str">
        <f>IF(LEN(G724)=0,"",VLOOKUP(G724,Issues!A:D,2,FALSE))</f>
        <v>(200) Contenidos</v>
      </c>
      <c r="I724" s="20" t="str">
        <f>IF(LEN(G724)=0,"",VLOOKUP(G724,Issues!A:D,3,FALSE))</f>
        <v>Error/inconsistencia en t&amp;c en sms.</v>
      </c>
      <c r="J724" s="19" t="str">
        <f>IF(LEN(G724)=0,"",VLOOKUP(G724,Issues!A:D,4,FALSE))</f>
        <v>Critico</v>
      </c>
      <c r="K724" s="21" t="str">
        <f t="shared" si="35"/>
        <v>Issue</v>
      </c>
    </row>
    <row r="725" spans="1:11" x14ac:dyDescent="0.35">
      <c r="A725" s="23">
        <v>46145</v>
      </c>
      <c r="B725" s="19" t="str">
        <f t="shared" si="34"/>
        <v>mayo</v>
      </c>
      <c r="C725" s="19" t="str">
        <f t="shared" si="36"/>
        <v>2026</v>
      </c>
      <c r="D725" s="25" t="s">
        <v>210</v>
      </c>
      <c r="E725" s="25" t="s">
        <v>16</v>
      </c>
      <c r="F725" s="25" t="s">
        <v>178</v>
      </c>
      <c r="G725" s="24">
        <v>702</v>
      </c>
      <c r="H725" s="19" t="str">
        <f>IF(LEN(G725)=0,"",VLOOKUP(G725,Issues!A:D,2,FALSE))</f>
        <v>(700) Interaccion MO/MT (On Demand)</v>
      </c>
      <c r="I725" s="20" t="str">
        <f>IF(LEN(G725)=0,"",VLOOKUP(G725,Issues!A:D,3,FALSE))</f>
        <v>No se recibe mt.</v>
      </c>
      <c r="J725" s="19" t="str">
        <f>IF(LEN(G725)=0,"",VLOOKUP(G725,Issues!A:D,4,FALSE))</f>
        <v>Critico</v>
      </c>
      <c r="K725" s="21" t="str">
        <f t="shared" si="35"/>
        <v>Issue</v>
      </c>
    </row>
    <row r="726" spans="1:11" x14ac:dyDescent="0.35">
      <c r="A726" s="23">
        <v>46109</v>
      </c>
      <c r="B726" s="19" t="str">
        <f t="shared" si="34"/>
        <v>marzo</v>
      </c>
      <c r="C726" s="19" t="str">
        <f t="shared" si="36"/>
        <v>2026</v>
      </c>
      <c r="D726" s="25" t="s">
        <v>206</v>
      </c>
      <c r="E726" s="25" t="s">
        <v>25</v>
      </c>
      <c r="F726" s="25" t="s">
        <v>198</v>
      </c>
      <c r="G726" s="24">
        <v>400</v>
      </c>
      <c r="H726" s="19" t="str">
        <f>IF(LEN(G726)=0,"",VLOOKUP(G726,Issues!A:D,2,FALSE))</f>
        <v>(400) Portales / Web-App</v>
      </c>
      <c r="I726" s="20" t="str">
        <f>IF(LEN(G726)=0,"",VLOOKUP(G726,Issues!A:D,3,FALSE))</f>
        <v>Portal evaluado con éxito.</v>
      </c>
      <c r="J726" s="19" t="str">
        <f>IF(LEN(G726)=0,"",VLOOKUP(G726,Issues!A:D,4,FALSE))</f>
        <v>Prueba OK</v>
      </c>
      <c r="K726" s="21" t="str">
        <f t="shared" si="35"/>
        <v>OK</v>
      </c>
    </row>
    <row r="727" spans="1:11" x14ac:dyDescent="0.35">
      <c r="A727" s="23">
        <v>46110</v>
      </c>
      <c r="B727" s="19" t="str">
        <f t="shared" si="34"/>
        <v>marzo</v>
      </c>
      <c r="C727" s="19" t="str">
        <f t="shared" si="36"/>
        <v>2026</v>
      </c>
      <c r="D727" s="25" t="s">
        <v>206</v>
      </c>
      <c r="E727" s="25" t="s">
        <v>13</v>
      </c>
      <c r="F727" s="25" t="s">
        <v>153</v>
      </c>
      <c r="G727" s="24">
        <v>111</v>
      </c>
      <c r="H727" s="19" t="str">
        <f>IF(LEN(G727)=0,"",VLOOKUP(G727,Issues!A:D,2,FALSE))</f>
        <v>(100)  Alta</v>
      </c>
      <c r="I727" s="20" t="str">
        <f>IF(LEN(G727)=0,"",VLOOKUP(G727,Issues!A:D,3,FALSE))</f>
        <v>Falla en alta a traves de sim.</v>
      </c>
      <c r="J727" s="19" t="str">
        <f>IF(LEN(G727)=0,"",VLOOKUP(G727,Issues!A:D,4,FALSE))</f>
        <v>Critico</v>
      </c>
      <c r="K727" s="21" t="str">
        <f t="shared" si="35"/>
        <v>Issue</v>
      </c>
    </row>
    <row r="728" spans="1:11" x14ac:dyDescent="0.35">
      <c r="A728" s="23">
        <v>46154</v>
      </c>
      <c r="B728" s="19" t="str">
        <f t="shared" si="34"/>
        <v>mayo</v>
      </c>
      <c r="C728" s="19" t="str">
        <f t="shared" si="36"/>
        <v>2026</v>
      </c>
      <c r="D728" s="25" t="s">
        <v>207</v>
      </c>
      <c r="E728" s="25" t="s">
        <v>19</v>
      </c>
      <c r="F728" s="25" t="s">
        <v>185</v>
      </c>
      <c r="G728" s="24">
        <v>202</v>
      </c>
      <c r="H728" s="19" t="str">
        <f>IF(LEN(G728)=0,"",VLOOKUP(G728,Issues!A:D,2,FALSE))</f>
        <v>(200) Contenidos</v>
      </c>
      <c r="I728" s="20" t="str">
        <f>IF(LEN(G728)=0,"",VLOOKUP(G728,Issues!A:D,3,FALSE))</f>
        <v>Inconsistencias en textos/fraseologia sms.</v>
      </c>
      <c r="J728" s="19" t="str">
        <f>IF(LEN(G728)=0,"",VLOOKUP(G728,Issues!A:D,4,FALSE))</f>
        <v>Medio</v>
      </c>
      <c r="K728" s="21" t="str">
        <f t="shared" si="35"/>
        <v>Issue</v>
      </c>
    </row>
    <row r="729" spans="1:11" x14ac:dyDescent="0.35">
      <c r="A729" s="23">
        <v>46051</v>
      </c>
      <c r="B729" s="19" t="str">
        <f t="shared" si="34"/>
        <v>enero</v>
      </c>
      <c r="C729" s="19" t="str">
        <f t="shared" si="36"/>
        <v>2026</v>
      </c>
      <c r="D729" s="25" t="s">
        <v>207</v>
      </c>
      <c r="E729" s="25" t="s">
        <v>16</v>
      </c>
      <c r="F729" s="25" t="s">
        <v>176</v>
      </c>
      <c r="G729" s="24">
        <v>102</v>
      </c>
      <c r="H729" s="19" t="str">
        <f>IF(LEN(G729)=0,"",VLOOKUP(G729,Issues!A:D,2,FALSE))</f>
        <v>(100)  Alta</v>
      </c>
      <c r="I729" s="20" t="str">
        <f>IF(LEN(G729)=0,"",VLOOKUP(G729,Issues!A:D,3,FALSE))</f>
        <v>Falla en doble optin en sms.</v>
      </c>
      <c r="J729" s="19" t="str">
        <f>IF(LEN(G729)=0,"",VLOOKUP(G729,Issues!A:D,4,FALSE))</f>
        <v>Critico</v>
      </c>
      <c r="K729" s="21" t="str">
        <f t="shared" si="35"/>
        <v>Issue</v>
      </c>
    </row>
    <row r="730" spans="1:11" x14ac:dyDescent="0.35">
      <c r="A730" s="23">
        <v>46061</v>
      </c>
      <c r="B730" s="19" t="str">
        <f t="shared" si="34"/>
        <v>febrero</v>
      </c>
      <c r="C730" s="19" t="str">
        <f t="shared" si="36"/>
        <v>2026</v>
      </c>
      <c r="D730" s="25" t="s">
        <v>207</v>
      </c>
      <c r="E730" s="25" t="s">
        <v>12</v>
      </c>
      <c r="F730" s="25" t="s">
        <v>169</v>
      </c>
      <c r="G730" s="24">
        <v>301</v>
      </c>
      <c r="H730" s="19" t="str">
        <f>IF(LEN(G730)=0,"",VLOOKUP(G730,Issues!A:D,2,FALSE))</f>
        <v>(300) Cobros</v>
      </c>
      <c r="I730" s="20" t="str">
        <f>IF(LEN(G730)=0,"",VLOOKUP(G730,Issues!A:D,3,FALSE))</f>
        <v>No llego contenido (si hubo cobro).</v>
      </c>
      <c r="J730" s="19" t="str">
        <f>IF(LEN(G730)=0,"",VLOOKUP(G730,Issues!A:D,4,FALSE))</f>
        <v>Critico</v>
      </c>
      <c r="K730" s="21" t="str">
        <f t="shared" si="35"/>
        <v>Issue</v>
      </c>
    </row>
    <row r="731" spans="1:11" x14ac:dyDescent="0.35">
      <c r="A731" s="23">
        <v>46054</v>
      </c>
      <c r="B731" s="19" t="str">
        <f t="shared" si="34"/>
        <v>febrero</v>
      </c>
      <c r="C731" s="19" t="str">
        <f t="shared" si="36"/>
        <v>2026</v>
      </c>
      <c r="D731" s="25" t="s">
        <v>206</v>
      </c>
      <c r="E731" s="25" t="s">
        <v>22</v>
      </c>
      <c r="F731" s="25" t="s">
        <v>154</v>
      </c>
      <c r="G731" s="24">
        <v>306</v>
      </c>
      <c r="H731" s="19" t="str">
        <f>IF(LEN(G731)=0,"",VLOOKUP(G731,Issues!A:D,2,FALSE))</f>
        <v>(300) Cobros</v>
      </c>
      <c r="I731" s="20" t="str">
        <f>IF(LEN(G731)=0,"",VLOOKUP(G731,Issues!A:D,3,FALSE))</f>
        <v>Inconsistencias en la recurrencia del cobro.</v>
      </c>
      <c r="J731" s="19" t="str">
        <f>IF(LEN(G731)=0,"",VLOOKUP(G731,Issues!A:D,4,FALSE))</f>
        <v>Critico</v>
      </c>
      <c r="K731" s="21" t="str">
        <f t="shared" si="35"/>
        <v>Issue</v>
      </c>
    </row>
    <row r="732" spans="1:11" x14ac:dyDescent="0.35">
      <c r="A732" s="23">
        <v>46067</v>
      </c>
      <c r="B732" s="19" t="str">
        <f t="shared" si="34"/>
        <v>febrero</v>
      </c>
      <c r="C732" s="19" t="str">
        <f t="shared" si="36"/>
        <v>2026</v>
      </c>
      <c r="D732" s="25" t="s">
        <v>207</v>
      </c>
      <c r="E732" s="25" t="s">
        <v>24</v>
      </c>
      <c r="F732" s="25" t="s">
        <v>151</v>
      </c>
      <c r="G732" s="24">
        <v>401</v>
      </c>
      <c r="H732" s="19" t="str">
        <f>IF(LEN(G732)=0,"",VLOOKUP(G732,Issues!A:D,2,FALSE))</f>
        <v>(400) Portales / Web-App</v>
      </c>
      <c r="I732" s="20" t="str">
        <f>IF(LEN(G732)=0,"",VLOOKUP(G732,Issues!A:D,3,FALSE))</f>
        <v>Problemas con las credenciales y acceso a portal / web-app.</v>
      </c>
      <c r="J732" s="19" t="str">
        <f>IF(LEN(G732)=0,"",VLOOKUP(G732,Issues!A:D,4,FALSE))</f>
        <v>Critico</v>
      </c>
      <c r="K732" s="21" t="str">
        <f t="shared" si="35"/>
        <v>Issue</v>
      </c>
    </row>
    <row r="733" spans="1:11" x14ac:dyDescent="0.35">
      <c r="A733" s="23">
        <v>46114</v>
      </c>
      <c r="B733" s="19" t="str">
        <f t="shared" si="34"/>
        <v>abril</v>
      </c>
      <c r="C733" s="19" t="str">
        <f t="shared" si="36"/>
        <v>2026</v>
      </c>
      <c r="D733" s="25" t="s">
        <v>206</v>
      </c>
      <c r="E733" s="25" t="s">
        <v>22</v>
      </c>
      <c r="F733" s="25" t="s">
        <v>158</v>
      </c>
      <c r="G733" s="24">
        <v>400</v>
      </c>
      <c r="H733" s="19" t="str">
        <f>IF(LEN(G733)=0,"",VLOOKUP(G733,Issues!A:D,2,FALSE))</f>
        <v>(400) Portales / Web-App</v>
      </c>
      <c r="I733" s="20" t="str">
        <f>IF(LEN(G733)=0,"",VLOOKUP(G733,Issues!A:D,3,FALSE))</f>
        <v>Portal evaluado con éxito.</v>
      </c>
      <c r="J733" s="19" t="str">
        <f>IF(LEN(G733)=0,"",VLOOKUP(G733,Issues!A:D,4,FALSE))</f>
        <v>Prueba OK</v>
      </c>
      <c r="K733" s="21" t="str">
        <f t="shared" si="35"/>
        <v>OK</v>
      </c>
    </row>
    <row r="734" spans="1:11" x14ac:dyDescent="0.35">
      <c r="A734" s="23">
        <v>46137</v>
      </c>
      <c r="B734" s="19" t="str">
        <f t="shared" si="34"/>
        <v>abril</v>
      </c>
      <c r="C734" s="19" t="str">
        <f t="shared" si="36"/>
        <v>2026</v>
      </c>
      <c r="D734" s="25" t="s">
        <v>207</v>
      </c>
      <c r="E734" s="25" t="s">
        <v>12</v>
      </c>
      <c r="F734" s="25" t="s">
        <v>168</v>
      </c>
      <c r="G734" s="24">
        <v>104</v>
      </c>
      <c r="H734" s="19" t="str">
        <f>IF(LEN(G734)=0,"",VLOOKUP(G734,Issues!A:D,2,FALSE))</f>
        <v>(100)  Alta</v>
      </c>
      <c r="I734" s="20" t="str">
        <f>IF(LEN(G734)=0,"",VLOOKUP(G734,Issues!A:D,3,FALSE))</f>
        <v>No llega pin code.</v>
      </c>
      <c r="J734" s="19" t="str">
        <f>IF(LEN(G734)=0,"",VLOOKUP(G734,Issues!A:D,4,FALSE))</f>
        <v>Medio</v>
      </c>
      <c r="K734" s="21" t="str">
        <f t="shared" si="35"/>
        <v>Issue</v>
      </c>
    </row>
    <row r="735" spans="1:11" x14ac:dyDescent="0.35">
      <c r="A735" s="23">
        <v>46086</v>
      </c>
      <c r="B735" s="19" t="str">
        <f t="shared" si="34"/>
        <v>marzo</v>
      </c>
      <c r="C735" s="19" t="str">
        <f t="shared" si="36"/>
        <v>2026</v>
      </c>
      <c r="D735" s="25" t="s">
        <v>206</v>
      </c>
      <c r="E735" s="25" t="s">
        <v>24</v>
      </c>
      <c r="F735" s="25" t="s">
        <v>151</v>
      </c>
      <c r="G735" s="24">
        <v>100</v>
      </c>
      <c r="H735" s="19" t="str">
        <f>IF(LEN(G735)=0,"",VLOOKUP(G735,Issues!A:D,2,FALSE))</f>
        <v>(100)  Alta</v>
      </c>
      <c r="I735" s="20" t="str">
        <f>IF(LEN(G735)=0,"",VLOOKUP(G735,Issues!A:D,3,FALSE))</f>
        <v>Alta con éxito.</v>
      </c>
      <c r="J735" s="19" t="str">
        <f>IF(LEN(G735)=0,"",VLOOKUP(G735,Issues!A:D,4,FALSE))</f>
        <v>Prueba OK</v>
      </c>
      <c r="K735" s="21" t="str">
        <f t="shared" si="35"/>
        <v>OK</v>
      </c>
    </row>
    <row r="736" spans="1:11" x14ac:dyDescent="0.35">
      <c r="A736" s="23">
        <v>46087</v>
      </c>
      <c r="B736" s="19" t="str">
        <f t="shared" si="34"/>
        <v>marzo</v>
      </c>
      <c r="C736" s="19" t="str">
        <f t="shared" si="36"/>
        <v>2026</v>
      </c>
      <c r="D736" s="25" t="s">
        <v>206</v>
      </c>
      <c r="E736" s="25" t="s">
        <v>11</v>
      </c>
      <c r="F736" s="25" t="s">
        <v>165</v>
      </c>
      <c r="G736" s="24">
        <v>508</v>
      </c>
      <c r="H736" s="19" t="str">
        <f>IF(LEN(G736)=0,"",VLOOKUP(G736,Issues!A:D,2,FALSE))</f>
        <v>(500) Baja / Cancelacion</v>
      </c>
      <c r="I736" s="20" t="str">
        <f>IF(LEN(G736)=0,"",VLOOKUP(G736,Issues!A:D,3,FALSE))</f>
        <v>No permite dar baja por no tener saldo.</v>
      </c>
      <c r="J736" s="19" t="str">
        <f>IF(LEN(G736)=0,"",VLOOKUP(G736,Issues!A:D,4,FALSE))</f>
        <v>Critico</v>
      </c>
      <c r="K736" s="21" t="str">
        <f t="shared" si="35"/>
        <v>Issue</v>
      </c>
    </row>
    <row r="737" spans="1:11" x14ac:dyDescent="0.35">
      <c r="A737" s="23">
        <v>46099</v>
      </c>
      <c r="B737" s="19" t="str">
        <f t="shared" si="34"/>
        <v>marzo</v>
      </c>
      <c r="C737" s="19" t="str">
        <f t="shared" si="36"/>
        <v>2026</v>
      </c>
      <c r="D737" s="25" t="s">
        <v>206</v>
      </c>
      <c r="E737" s="25" t="s">
        <v>15</v>
      </c>
      <c r="F737" s="25" t="s">
        <v>173</v>
      </c>
      <c r="G737" s="24">
        <v>405</v>
      </c>
      <c r="H737" s="19" t="str">
        <f>IF(LEN(G737)=0,"",VLOOKUP(G737,Issues!A:D,2,FALSE))</f>
        <v>(400) Portales / Web-App</v>
      </c>
      <c r="I737" s="20" t="str">
        <f>IF(LEN(G737)=0,"",VLOOKUP(G737,Issues!A:D,3,FALSE))</f>
        <v>Problemas de estructura o textos del portal o web-app.</v>
      </c>
      <c r="J737" s="19" t="str">
        <f>IF(LEN(G737)=0,"",VLOOKUP(G737,Issues!A:D,4,FALSE))</f>
        <v>Medio</v>
      </c>
      <c r="K737" s="21" t="str">
        <f t="shared" si="35"/>
        <v>Issue</v>
      </c>
    </row>
    <row r="738" spans="1:11" x14ac:dyDescent="0.35">
      <c r="A738" s="23">
        <v>46108</v>
      </c>
      <c r="B738" s="19" t="str">
        <f t="shared" si="34"/>
        <v>marzo</v>
      </c>
      <c r="C738" s="19" t="str">
        <f t="shared" si="36"/>
        <v>2026</v>
      </c>
      <c r="D738" s="25" t="s">
        <v>207</v>
      </c>
      <c r="E738" s="25" t="s">
        <v>10</v>
      </c>
      <c r="F738" s="25" t="s">
        <v>162</v>
      </c>
      <c r="G738" s="24">
        <v>500</v>
      </c>
      <c r="H738" s="19" t="str">
        <f>IF(LEN(G738)=0,"",VLOOKUP(G738,Issues!A:D,2,FALSE))</f>
        <v>(500) Baja / Cancelacion</v>
      </c>
      <c r="I738" s="20" t="str">
        <f>IF(LEN(G738)=0,"",VLOOKUP(G738,Issues!A:D,3,FALSE))</f>
        <v>Baja con éxito.</v>
      </c>
      <c r="J738" s="19" t="str">
        <f>IF(LEN(G738)=0,"",VLOOKUP(G738,Issues!A:D,4,FALSE))</f>
        <v>Prueba OK</v>
      </c>
      <c r="K738" s="21" t="str">
        <f t="shared" si="35"/>
        <v>OK</v>
      </c>
    </row>
    <row r="739" spans="1:11" x14ac:dyDescent="0.35">
      <c r="A739" s="23">
        <v>46153</v>
      </c>
      <c r="B739" s="19" t="str">
        <f t="shared" si="34"/>
        <v>mayo</v>
      </c>
      <c r="C739" s="19" t="str">
        <f t="shared" si="36"/>
        <v>2026</v>
      </c>
      <c r="D739" s="25" t="s">
        <v>208</v>
      </c>
      <c r="E739" s="25" t="s">
        <v>18</v>
      </c>
      <c r="F739" s="25" t="s">
        <v>184</v>
      </c>
      <c r="G739" s="24">
        <v>110</v>
      </c>
      <c r="H739" s="19" t="str">
        <f>IF(LEN(G739)=0,"",VLOOKUP(G739,Issues!A:D,2,FALSE))</f>
        <v>(100)  Alta</v>
      </c>
      <c r="I739" s="20" t="str">
        <f>IF(LEN(G739)=0,"",VLOOKUP(G739,Issues!A:D,3,FALSE))</f>
        <v>Falla en alta a traves de ivr.</v>
      </c>
      <c r="J739" s="19" t="str">
        <f>IF(LEN(G739)=0,"",VLOOKUP(G739,Issues!A:D,4,FALSE))</f>
        <v>Critico</v>
      </c>
      <c r="K739" s="21" t="str">
        <f t="shared" si="35"/>
        <v>Issue</v>
      </c>
    </row>
    <row r="740" spans="1:11" x14ac:dyDescent="0.35">
      <c r="A740" s="23">
        <v>46072</v>
      </c>
      <c r="B740" s="19" t="str">
        <f t="shared" si="34"/>
        <v>febrero</v>
      </c>
      <c r="C740" s="19" t="str">
        <f t="shared" si="36"/>
        <v>2026</v>
      </c>
      <c r="D740" s="25" t="s">
        <v>208</v>
      </c>
      <c r="E740" s="25" t="s">
        <v>24</v>
      </c>
      <c r="F740" s="25" t="s">
        <v>151</v>
      </c>
      <c r="G740" s="24">
        <v>404</v>
      </c>
      <c r="H740" s="19" t="str">
        <f>IF(LEN(G740)=0,"",VLOOKUP(G740,Issues!A:D,2,FALSE))</f>
        <v>(400) Portales / Web-App</v>
      </c>
      <c r="I740" s="20" t="str">
        <f>IF(LEN(G740)=0,"",VLOOKUP(G740,Issues!A:D,3,FALSE))</f>
        <v>No cumple las politicas de estructura del operador.</v>
      </c>
      <c r="J740" s="19" t="str">
        <f>IF(LEN(G740)=0,"",VLOOKUP(G740,Issues!A:D,4,FALSE))</f>
        <v>Critico</v>
      </c>
      <c r="K740" s="21" t="str">
        <f t="shared" si="35"/>
        <v>Issue</v>
      </c>
    </row>
    <row r="741" spans="1:11" x14ac:dyDescent="0.35">
      <c r="A741" s="23">
        <v>46064</v>
      </c>
      <c r="B741" s="19" t="str">
        <f t="shared" si="34"/>
        <v>febrero</v>
      </c>
      <c r="C741" s="19" t="str">
        <f t="shared" si="36"/>
        <v>2026</v>
      </c>
      <c r="D741" s="25" t="s">
        <v>204</v>
      </c>
      <c r="E741" s="25" t="s">
        <v>13</v>
      </c>
      <c r="F741" s="25" t="s">
        <v>157</v>
      </c>
      <c r="G741" s="24">
        <v>800</v>
      </c>
      <c r="H741" s="19" t="str">
        <f>IF(LEN(G741)=0,"",VLOOKUP(G741,Issues!A:D,2,FALSE))</f>
        <v>(800) Politicas especiales operadores</v>
      </c>
      <c r="I741" s="20" t="str">
        <f>IF(LEN(G741)=0,"",VLOOKUP(G741,Issues!A:D,3,FALSE))</f>
        <v>Politicas de los operadores cumplidas.</v>
      </c>
      <c r="J741" s="19" t="str">
        <f>IF(LEN(G741)=0,"",VLOOKUP(G741,Issues!A:D,4,FALSE))</f>
        <v>Prueba OK</v>
      </c>
      <c r="K741" s="21" t="str">
        <f t="shared" si="35"/>
        <v>OK</v>
      </c>
    </row>
    <row r="742" spans="1:11" x14ac:dyDescent="0.35">
      <c r="A742" s="23">
        <v>46058</v>
      </c>
      <c r="B742" s="19" t="str">
        <f t="shared" si="34"/>
        <v>febrero</v>
      </c>
      <c r="C742" s="19" t="str">
        <f t="shared" si="36"/>
        <v>2026</v>
      </c>
      <c r="D742" s="25" t="s">
        <v>207</v>
      </c>
      <c r="E742" s="25" t="s">
        <v>21</v>
      </c>
      <c r="F742" s="25" t="s">
        <v>193</v>
      </c>
      <c r="G742" s="24">
        <v>800</v>
      </c>
      <c r="H742" s="19" t="str">
        <f>IF(LEN(G742)=0,"",VLOOKUP(G742,Issues!A:D,2,FALSE))</f>
        <v>(800) Politicas especiales operadores</v>
      </c>
      <c r="I742" s="20" t="str">
        <f>IF(LEN(G742)=0,"",VLOOKUP(G742,Issues!A:D,3,FALSE))</f>
        <v>Politicas de los operadores cumplidas.</v>
      </c>
      <c r="J742" s="19" t="str">
        <f>IF(LEN(G742)=0,"",VLOOKUP(G742,Issues!A:D,4,FALSE))</f>
        <v>Prueba OK</v>
      </c>
      <c r="K742" s="21" t="str">
        <f t="shared" si="35"/>
        <v>OK</v>
      </c>
    </row>
    <row r="743" spans="1:11" x14ac:dyDescent="0.35">
      <c r="A743" s="23">
        <v>46092</v>
      </c>
      <c r="B743" s="19" t="str">
        <f t="shared" si="34"/>
        <v>marzo</v>
      </c>
      <c r="C743" s="19" t="str">
        <f t="shared" si="36"/>
        <v>2026</v>
      </c>
      <c r="D743" s="25" t="s">
        <v>207</v>
      </c>
      <c r="E743" s="25" t="s">
        <v>18</v>
      </c>
      <c r="F743" s="25" t="s">
        <v>182</v>
      </c>
      <c r="G743" s="24">
        <v>300</v>
      </c>
      <c r="H743" s="19" t="str">
        <f>IF(LEN(G743)=0,"",VLOOKUP(G743,Issues!A:D,2,FALSE))</f>
        <v>(300) Cobros</v>
      </c>
      <c r="I743" s="20" t="str">
        <f>IF(LEN(G743)=0,"",VLOOKUP(G743,Issues!A:D,3,FALSE))</f>
        <v>Cobro en valor y forma correcto.</v>
      </c>
      <c r="J743" s="19" t="str">
        <f>IF(LEN(G743)=0,"",VLOOKUP(G743,Issues!A:D,4,FALSE))</f>
        <v>Prueba OK</v>
      </c>
      <c r="K743" s="21" t="str">
        <f t="shared" si="35"/>
        <v>OK</v>
      </c>
    </row>
    <row r="744" spans="1:11" x14ac:dyDescent="0.35">
      <c r="A744" s="23">
        <v>46024</v>
      </c>
      <c r="B744" s="19" t="str">
        <f t="shared" si="34"/>
        <v>enero</v>
      </c>
      <c r="C744" s="19" t="str">
        <f t="shared" si="36"/>
        <v>2026</v>
      </c>
      <c r="D744" s="25" t="s">
        <v>206</v>
      </c>
      <c r="E744" s="25" t="s">
        <v>18</v>
      </c>
      <c r="F744" s="25" t="s">
        <v>182</v>
      </c>
      <c r="G744" s="24">
        <v>700</v>
      </c>
      <c r="H744" s="19" t="str">
        <f>IF(LEN(G744)=0,"",VLOOKUP(G744,Issues!A:D,2,FALSE))</f>
        <v>(700) Interaccion MO/MT (On Demand)</v>
      </c>
      <c r="I744" s="20" t="str">
        <f>IF(LEN(G744)=0,"",VLOOKUP(G744,Issues!A:D,3,FALSE))</f>
        <v>Flujo MO/MT con éxito.</v>
      </c>
      <c r="J744" s="19" t="str">
        <f>IF(LEN(G744)=0,"",VLOOKUP(G744,Issues!A:D,4,FALSE))</f>
        <v>Prueba OK</v>
      </c>
      <c r="K744" s="21" t="str">
        <f t="shared" si="35"/>
        <v>OK</v>
      </c>
    </row>
    <row r="745" spans="1:11" x14ac:dyDescent="0.35">
      <c r="A745" s="23">
        <v>46040</v>
      </c>
      <c r="B745" s="19" t="str">
        <f t="shared" si="34"/>
        <v>enero</v>
      </c>
      <c r="C745" s="19" t="str">
        <f t="shared" si="36"/>
        <v>2026</v>
      </c>
      <c r="D745" s="25" t="s">
        <v>206</v>
      </c>
      <c r="E745" s="25" t="s">
        <v>27</v>
      </c>
      <c r="F745" s="25" t="s">
        <v>201</v>
      </c>
      <c r="G745" s="24">
        <v>301</v>
      </c>
      <c r="H745" s="19" t="str">
        <f>IF(LEN(G745)=0,"",VLOOKUP(G745,Issues!A:D,2,FALSE))</f>
        <v>(300) Cobros</v>
      </c>
      <c r="I745" s="20" t="str">
        <f>IF(LEN(G745)=0,"",VLOOKUP(G745,Issues!A:D,3,FALSE))</f>
        <v>No llego contenido (si hubo cobro).</v>
      </c>
      <c r="J745" s="19" t="str">
        <f>IF(LEN(G745)=0,"",VLOOKUP(G745,Issues!A:D,4,FALSE))</f>
        <v>Critico</v>
      </c>
      <c r="K745" s="21" t="str">
        <f t="shared" si="35"/>
        <v>Issue</v>
      </c>
    </row>
    <row r="746" spans="1:11" x14ac:dyDescent="0.35">
      <c r="A746" s="23">
        <v>46138</v>
      </c>
      <c r="B746" s="19" t="str">
        <f t="shared" si="34"/>
        <v>abril</v>
      </c>
      <c r="C746" s="19" t="str">
        <f t="shared" si="36"/>
        <v>2026</v>
      </c>
      <c r="D746" s="25" t="s">
        <v>206</v>
      </c>
      <c r="E746" s="25" t="s">
        <v>16</v>
      </c>
      <c r="F746" s="25" t="s">
        <v>176</v>
      </c>
      <c r="G746" s="24">
        <v>500</v>
      </c>
      <c r="H746" s="19" t="str">
        <f>IF(LEN(G746)=0,"",VLOOKUP(G746,Issues!A:D,2,FALSE))</f>
        <v>(500) Baja / Cancelacion</v>
      </c>
      <c r="I746" s="20" t="str">
        <f>IF(LEN(G746)=0,"",VLOOKUP(G746,Issues!A:D,3,FALSE))</f>
        <v>Baja con éxito.</v>
      </c>
      <c r="J746" s="19" t="str">
        <f>IF(LEN(G746)=0,"",VLOOKUP(G746,Issues!A:D,4,FALSE))</f>
        <v>Prueba OK</v>
      </c>
      <c r="K746" s="21" t="str">
        <f t="shared" si="35"/>
        <v>OK</v>
      </c>
    </row>
    <row r="747" spans="1:11" x14ac:dyDescent="0.35">
      <c r="A747" s="23">
        <v>46143</v>
      </c>
      <c r="B747" s="19" t="str">
        <f t="shared" si="34"/>
        <v>mayo</v>
      </c>
      <c r="C747" s="19" t="str">
        <f t="shared" si="36"/>
        <v>2026</v>
      </c>
      <c r="D747" s="25" t="s">
        <v>206</v>
      </c>
      <c r="E747" s="25" t="s">
        <v>24</v>
      </c>
      <c r="F747" s="25" t="s">
        <v>155</v>
      </c>
      <c r="G747" s="24">
        <v>209</v>
      </c>
      <c r="H747" s="19" t="str">
        <f>IF(LEN(G747)=0,"",VLOOKUP(G747,Issues!A:D,2,FALSE))</f>
        <v>(200) Contenidos</v>
      </c>
      <c r="I747" s="20" t="str">
        <f>IF(LEN(G747)=0,"",VLOOKUP(G747,Issues!A:D,3,FALSE))</f>
        <v>Contenido desactualizado.</v>
      </c>
      <c r="J747" s="19" t="str">
        <f>IF(LEN(G747)=0,"",VLOOKUP(G747,Issues!A:D,4,FALSE))</f>
        <v>Medio</v>
      </c>
      <c r="K747" s="21" t="str">
        <f t="shared" si="35"/>
        <v>Issue</v>
      </c>
    </row>
    <row r="748" spans="1:11" x14ac:dyDescent="0.35">
      <c r="A748" s="23">
        <v>46025</v>
      </c>
      <c r="B748" s="19" t="str">
        <f t="shared" si="34"/>
        <v>enero</v>
      </c>
      <c r="C748" s="19" t="str">
        <f t="shared" si="36"/>
        <v>2026</v>
      </c>
      <c r="D748" s="25" t="s">
        <v>206</v>
      </c>
      <c r="E748" s="25" t="s">
        <v>15</v>
      </c>
      <c r="F748" s="25" t="s">
        <v>175</v>
      </c>
      <c r="G748" s="24">
        <v>202</v>
      </c>
      <c r="H748" s="19" t="str">
        <f>IF(LEN(G748)=0,"",VLOOKUP(G748,Issues!A:D,2,FALSE))</f>
        <v>(200) Contenidos</v>
      </c>
      <c r="I748" s="20" t="str">
        <f>IF(LEN(G748)=0,"",VLOOKUP(G748,Issues!A:D,3,FALSE))</f>
        <v>Inconsistencias en textos/fraseologia sms.</v>
      </c>
      <c r="J748" s="19" t="str">
        <f>IF(LEN(G748)=0,"",VLOOKUP(G748,Issues!A:D,4,FALSE))</f>
        <v>Medio</v>
      </c>
      <c r="K748" s="21" t="str">
        <f t="shared" si="35"/>
        <v>Issue</v>
      </c>
    </row>
    <row r="749" spans="1:11" x14ac:dyDescent="0.35">
      <c r="A749" s="23">
        <v>46126</v>
      </c>
      <c r="B749" s="19" t="str">
        <f t="shared" si="34"/>
        <v>abril</v>
      </c>
      <c r="C749" s="19" t="str">
        <f t="shared" si="36"/>
        <v>2026</v>
      </c>
      <c r="D749" s="25" t="s">
        <v>206</v>
      </c>
      <c r="E749" s="25" t="s">
        <v>11</v>
      </c>
      <c r="F749" s="25" t="s">
        <v>164</v>
      </c>
      <c r="G749" s="24">
        <v>300</v>
      </c>
      <c r="H749" s="19" t="str">
        <f>IF(LEN(G749)=0,"",VLOOKUP(G749,Issues!A:D,2,FALSE))</f>
        <v>(300) Cobros</v>
      </c>
      <c r="I749" s="20" t="str">
        <f>IF(LEN(G749)=0,"",VLOOKUP(G749,Issues!A:D,3,FALSE))</f>
        <v>Cobro en valor y forma correcto.</v>
      </c>
      <c r="J749" s="19" t="str">
        <f>IF(LEN(G749)=0,"",VLOOKUP(G749,Issues!A:D,4,FALSE))</f>
        <v>Prueba OK</v>
      </c>
      <c r="K749" s="21" t="str">
        <f t="shared" si="35"/>
        <v>OK</v>
      </c>
    </row>
    <row r="750" spans="1:11" x14ac:dyDescent="0.35">
      <c r="A750" s="23">
        <v>46043</v>
      </c>
      <c r="B750" s="19" t="str">
        <f t="shared" si="34"/>
        <v>enero</v>
      </c>
      <c r="C750" s="19" t="str">
        <f t="shared" si="36"/>
        <v>2026</v>
      </c>
      <c r="D750" s="25" t="s">
        <v>210</v>
      </c>
      <c r="E750" s="25" t="s">
        <v>19</v>
      </c>
      <c r="F750" s="25" t="s">
        <v>187</v>
      </c>
      <c r="G750" s="24">
        <v>400</v>
      </c>
      <c r="H750" s="19" t="str">
        <f>IF(LEN(G750)=0,"",VLOOKUP(G750,Issues!A:D,2,FALSE))</f>
        <v>(400) Portales / Web-App</v>
      </c>
      <c r="I750" s="20" t="str">
        <f>IF(LEN(G750)=0,"",VLOOKUP(G750,Issues!A:D,3,FALSE))</f>
        <v>Portal evaluado con éxito.</v>
      </c>
      <c r="J750" s="19" t="str">
        <f>IF(LEN(G750)=0,"",VLOOKUP(G750,Issues!A:D,4,FALSE))</f>
        <v>Prueba OK</v>
      </c>
      <c r="K750" s="21" t="str">
        <f t="shared" si="35"/>
        <v>OK</v>
      </c>
    </row>
    <row r="751" spans="1:11" x14ac:dyDescent="0.35">
      <c r="A751" s="23">
        <v>46130</v>
      </c>
      <c r="B751" s="19" t="str">
        <f t="shared" si="34"/>
        <v>abril</v>
      </c>
      <c r="C751" s="19" t="str">
        <f t="shared" si="36"/>
        <v>2026</v>
      </c>
      <c r="D751" s="25" t="s">
        <v>207</v>
      </c>
      <c r="E751" s="25" t="s">
        <v>11</v>
      </c>
      <c r="F751" s="25" t="s">
        <v>166</v>
      </c>
      <c r="G751" s="24">
        <v>700</v>
      </c>
      <c r="H751" s="19" t="str">
        <f>IF(LEN(G751)=0,"",VLOOKUP(G751,Issues!A:D,2,FALSE))</f>
        <v>(700) Interaccion MO/MT (On Demand)</v>
      </c>
      <c r="I751" s="20" t="str">
        <f>IF(LEN(G751)=0,"",VLOOKUP(G751,Issues!A:D,3,FALSE))</f>
        <v>Flujo MO/MT con éxito.</v>
      </c>
      <c r="J751" s="19" t="str">
        <f>IF(LEN(G751)=0,"",VLOOKUP(G751,Issues!A:D,4,FALSE))</f>
        <v>Prueba OK</v>
      </c>
      <c r="K751" s="21" t="str">
        <f t="shared" si="35"/>
        <v>OK</v>
      </c>
    </row>
    <row r="752" spans="1:11" x14ac:dyDescent="0.35">
      <c r="A752" s="23">
        <v>46099</v>
      </c>
      <c r="B752" s="19" t="str">
        <f t="shared" si="34"/>
        <v>marzo</v>
      </c>
      <c r="C752" s="19" t="str">
        <f t="shared" si="36"/>
        <v>2026</v>
      </c>
      <c r="D752" s="25" t="s">
        <v>206</v>
      </c>
      <c r="E752" s="25" t="s">
        <v>26</v>
      </c>
      <c r="F752" s="25" t="s">
        <v>156</v>
      </c>
      <c r="G752" s="24">
        <v>401</v>
      </c>
      <c r="H752" s="19" t="str">
        <f>IF(LEN(G752)=0,"",VLOOKUP(G752,Issues!A:D,2,FALSE))</f>
        <v>(400) Portales / Web-App</v>
      </c>
      <c r="I752" s="20" t="str">
        <f>IF(LEN(G752)=0,"",VLOOKUP(G752,Issues!A:D,3,FALSE))</f>
        <v>Problemas con las credenciales y acceso a portal / web-app.</v>
      </c>
      <c r="J752" s="19" t="str">
        <f>IF(LEN(G752)=0,"",VLOOKUP(G752,Issues!A:D,4,FALSE))</f>
        <v>Critico</v>
      </c>
      <c r="K752" s="21" t="str">
        <f t="shared" si="35"/>
        <v>Issue</v>
      </c>
    </row>
    <row r="753" spans="1:11" x14ac:dyDescent="0.35">
      <c r="A753" s="23">
        <v>46033</v>
      </c>
      <c r="B753" s="19" t="str">
        <f t="shared" si="34"/>
        <v>enero</v>
      </c>
      <c r="C753" s="19" t="str">
        <f t="shared" si="36"/>
        <v>2026</v>
      </c>
      <c r="D753" s="25" t="s">
        <v>207</v>
      </c>
      <c r="E753" s="25" t="s">
        <v>18</v>
      </c>
      <c r="F753" s="25" t="s">
        <v>183</v>
      </c>
      <c r="G753" s="24">
        <v>500</v>
      </c>
      <c r="H753" s="19" t="str">
        <f>IF(LEN(G753)=0,"",VLOOKUP(G753,Issues!A:D,2,FALSE))</f>
        <v>(500) Baja / Cancelacion</v>
      </c>
      <c r="I753" s="20" t="str">
        <f>IF(LEN(G753)=0,"",VLOOKUP(G753,Issues!A:D,3,FALSE))</f>
        <v>Baja con éxito.</v>
      </c>
      <c r="J753" s="19" t="str">
        <f>IF(LEN(G753)=0,"",VLOOKUP(G753,Issues!A:D,4,FALSE))</f>
        <v>Prueba OK</v>
      </c>
      <c r="K753" s="21" t="str">
        <f t="shared" si="35"/>
        <v>OK</v>
      </c>
    </row>
    <row r="754" spans="1:11" x14ac:dyDescent="0.35">
      <c r="A754" s="23">
        <v>46099</v>
      </c>
      <c r="B754" s="19" t="str">
        <f t="shared" si="34"/>
        <v>marzo</v>
      </c>
      <c r="C754" s="19" t="str">
        <f t="shared" si="36"/>
        <v>2026</v>
      </c>
      <c r="D754" s="25" t="s">
        <v>206</v>
      </c>
      <c r="E754" s="25" t="s">
        <v>26</v>
      </c>
      <c r="F754" s="25" t="s">
        <v>152</v>
      </c>
      <c r="G754" s="24">
        <v>500</v>
      </c>
      <c r="H754" s="19" t="str">
        <f>IF(LEN(G754)=0,"",VLOOKUP(G754,Issues!A:D,2,FALSE))</f>
        <v>(500) Baja / Cancelacion</v>
      </c>
      <c r="I754" s="20" t="str">
        <f>IF(LEN(G754)=0,"",VLOOKUP(G754,Issues!A:D,3,FALSE))</f>
        <v>Baja con éxito.</v>
      </c>
      <c r="J754" s="19" t="str">
        <f>IF(LEN(G754)=0,"",VLOOKUP(G754,Issues!A:D,4,FALSE))</f>
        <v>Prueba OK</v>
      </c>
      <c r="K754" s="21" t="str">
        <f t="shared" si="35"/>
        <v>OK</v>
      </c>
    </row>
    <row r="755" spans="1:11" x14ac:dyDescent="0.35">
      <c r="A755" s="23">
        <v>46083</v>
      </c>
      <c r="B755" s="19" t="str">
        <f t="shared" si="34"/>
        <v>marzo</v>
      </c>
      <c r="C755" s="19" t="str">
        <f t="shared" si="36"/>
        <v>2026</v>
      </c>
      <c r="D755" s="25" t="s">
        <v>207</v>
      </c>
      <c r="E755" s="25" t="s">
        <v>16</v>
      </c>
      <c r="F755" s="25" t="s">
        <v>178</v>
      </c>
      <c r="G755" s="24">
        <v>700</v>
      </c>
      <c r="H755" s="19" t="str">
        <f>IF(LEN(G755)=0,"",VLOOKUP(G755,Issues!A:D,2,FALSE))</f>
        <v>(700) Interaccion MO/MT (On Demand)</v>
      </c>
      <c r="I755" s="20" t="str">
        <f>IF(LEN(G755)=0,"",VLOOKUP(G755,Issues!A:D,3,FALSE))</f>
        <v>Flujo MO/MT con éxito.</v>
      </c>
      <c r="J755" s="19" t="str">
        <f>IF(LEN(G755)=0,"",VLOOKUP(G755,Issues!A:D,4,FALSE))</f>
        <v>Prueba OK</v>
      </c>
      <c r="K755" s="21" t="str">
        <f t="shared" si="35"/>
        <v>OK</v>
      </c>
    </row>
    <row r="756" spans="1:11" x14ac:dyDescent="0.35">
      <c r="A756" s="23">
        <v>46104</v>
      </c>
      <c r="B756" s="19" t="str">
        <f t="shared" si="34"/>
        <v>marzo</v>
      </c>
      <c r="C756" s="19" t="str">
        <f t="shared" si="36"/>
        <v>2026</v>
      </c>
      <c r="D756" s="25" t="s">
        <v>207</v>
      </c>
      <c r="E756" s="25" t="s">
        <v>25</v>
      </c>
      <c r="F756" s="25" t="s">
        <v>198</v>
      </c>
      <c r="G756" s="24">
        <v>111</v>
      </c>
      <c r="H756" s="19" t="str">
        <f>IF(LEN(G756)=0,"",VLOOKUP(G756,Issues!A:D,2,FALSE))</f>
        <v>(100)  Alta</v>
      </c>
      <c r="I756" s="20" t="str">
        <f>IF(LEN(G756)=0,"",VLOOKUP(G756,Issues!A:D,3,FALSE))</f>
        <v>Falla en alta a traves de sim.</v>
      </c>
      <c r="J756" s="19" t="str">
        <f>IF(LEN(G756)=0,"",VLOOKUP(G756,Issues!A:D,4,FALSE))</f>
        <v>Critico</v>
      </c>
      <c r="K756" s="21" t="str">
        <f t="shared" si="35"/>
        <v>Issue</v>
      </c>
    </row>
    <row r="757" spans="1:11" x14ac:dyDescent="0.35">
      <c r="A757" s="23">
        <v>46060</v>
      </c>
      <c r="B757" s="19" t="str">
        <f t="shared" si="34"/>
        <v>febrero</v>
      </c>
      <c r="C757" s="19" t="str">
        <f t="shared" si="36"/>
        <v>2026</v>
      </c>
      <c r="D757" s="25" t="s">
        <v>205</v>
      </c>
      <c r="E757" s="25" t="s">
        <v>16</v>
      </c>
      <c r="F757" s="25" t="s">
        <v>178</v>
      </c>
      <c r="G757" s="24">
        <v>300</v>
      </c>
      <c r="H757" s="19" t="str">
        <f>IF(LEN(G757)=0,"",VLOOKUP(G757,Issues!A:D,2,FALSE))</f>
        <v>(300) Cobros</v>
      </c>
      <c r="I757" s="20" t="str">
        <f>IF(LEN(G757)=0,"",VLOOKUP(G757,Issues!A:D,3,FALSE))</f>
        <v>Cobro en valor y forma correcto.</v>
      </c>
      <c r="J757" s="19" t="str">
        <f>IF(LEN(G757)=0,"",VLOOKUP(G757,Issues!A:D,4,FALSE))</f>
        <v>Prueba OK</v>
      </c>
      <c r="K757" s="21" t="str">
        <f t="shared" si="35"/>
        <v>OK</v>
      </c>
    </row>
    <row r="758" spans="1:11" x14ac:dyDescent="0.35">
      <c r="A758" s="23">
        <v>46072</v>
      </c>
      <c r="B758" s="19" t="str">
        <f t="shared" si="34"/>
        <v>febrero</v>
      </c>
      <c r="C758" s="19" t="str">
        <f t="shared" si="36"/>
        <v>2026</v>
      </c>
      <c r="D758" s="25" t="s">
        <v>207</v>
      </c>
      <c r="E758" s="25" t="s">
        <v>22</v>
      </c>
      <c r="F758" s="25" t="s">
        <v>154</v>
      </c>
      <c r="G758" s="24">
        <v>200</v>
      </c>
      <c r="H758" s="19" t="str">
        <f>IF(LEN(G758)=0,"",VLOOKUP(G758,Issues!A:D,2,FALSE))</f>
        <v>(200) Contenidos</v>
      </c>
      <c r="I758" s="20" t="str">
        <f>IF(LEN(G758)=0,"",VLOOKUP(G758,Issues!A:D,3,FALSE))</f>
        <v>Contenidos recibido con éxito.</v>
      </c>
      <c r="J758" s="19" t="str">
        <f>IF(LEN(G758)=0,"",VLOOKUP(G758,Issues!A:D,4,FALSE))</f>
        <v>Prueba OK</v>
      </c>
      <c r="K758" s="21" t="str">
        <f t="shared" si="35"/>
        <v>OK</v>
      </c>
    </row>
    <row r="759" spans="1:11" x14ac:dyDescent="0.35">
      <c r="A759" s="23">
        <v>46047</v>
      </c>
      <c r="B759" s="19" t="str">
        <f t="shared" si="34"/>
        <v>enero</v>
      </c>
      <c r="C759" s="19" t="str">
        <f t="shared" si="36"/>
        <v>2026</v>
      </c>
      <c r="D759" s="25" t="s">
        <v>207</v>
      </c>
      <c r="E759" s="25" t="s">
        <v>19</v>
      </c>
      <c r="F759" s="25" t="s">
        <v>186</v>
      </c>
      <c r="G759" s="24">
        <v>109</v>
      </c>
      <c r="H759" s="19" t="str">
        <f>IF(LEN(G759)=0,"",VLOOKUP(G759,Issues!A:D,2,FALSE))</f>
        <v>(100)  Alta</v>
      </c>
      <c r="I759" s="20" t="str">
        <f>IF(LEN(G759)=0,"",VLOOKUP(G759,Issues!A:D,3,FALSE))</f>
        <v>Fallas en estructura o diseño de la lp.</v>
      </c>
      <c r="J759" s="19" t="str">
        <f>IF(LEN(G759)=0,"",VLOOKUP(G759,Issues!A:D,4,FALSE))</f>
        <v>Medio</v>
      </c>
      <c r="K759" s="21" t="str">
        <f t="shared" si="35"/>
        <v>Issue</v>
      </c>
    </row>
    <row r="760" spans="1:11" x14ac:dyDescent="0.35">
      <c r="A760" s="23">
        <v>46062</v>
      </c>
      <c r="B760" s="19" t="str">
        <f t="shared" si="34"/>
        <v>febrero</v>
      </c>
      <c r="C760" s="19" t="str">
        <f t="shared" si="36"/>
        <v>2026</v>
      </c>
      <c r="D760" s="25" t="s">
        <v>207</v>
      </c>
      <c r="E760" s="25" t="s">
        <v>25</v>
      </c>
      <c r="F760" s="25" t="s">
        <v>198</v>
      </c>
      <c r="G760" s="24">
        <v>102</v>
      </c>
      <c r="H760" s="19" t="str">
        <f>IF(LEN(G760)=0,"",VLOOKUP(G760,Issues!A:D,2,FALSE))</f>
        <v>(100)  Alta</v>
      </c>
      <c r="I760" s="20" t="str">
        <f>IF(LEN(G760)=0,"",VLOOKUP(G760,Issues!A:D,3,FALSE))</f>
        <v>Falla en doble optin en sms.</v>
      </c>
      <c r="J760" s="19" t="str">
        <f>IF(LEN(G760)=0,"",VLOOKUP(G760,Issues!A:D,4,FALSE))</f>
        <v>Critico</v>
      </c>
      <c r="K760" s="21" t="str">
        <f t="shared" si="35"/>
        <v>Issue</v>
      </c>
    </row>
    <row r="761" spans="1:11" x14ac:dyDescent="0.35">
      <c r="A761" s="23">
        <v>46117</v>
      </c>
      <c r="B761" s="19" t="str">
        <f t="shared" si="34"/>
        <v>abril</v>
      </c>
      <c r="C761" s="19" t="str">
        <f t="shared" si="36"/>
        <v>2026</v>
      </c>
      <c r="D761" s="25" t="s">
        <v>205</v>
      </c>
      <c r="E761" s="25" t="s">
        <v>11</v>
      </c>
      <c r="F761" s="25" t="s">
        <v>166</v>
      </c>
      <c r="G761" s="24">
        <v>210</v>
      </c>
      <c r="H761" s="19" t="str">
        <f>IF(LEN(G761)=0,"",VLOOKUP(G761,Issues!A:D,2,FALSE))</f>
        <v>(200) Contenidos</v>
      </c>
      <c r="I761" s="20" t="str">
        <f>IF(LEN(G761)=0,"",VLOOKUP(G761,Issues!A:D,3,FALSE))</f>
        <v>Contenido no apropiado - fuera de las politicas del operador.</v>
      </c>
      <c r="J761" s="19" t="str">
        <f>IF(LEN(G761)=0,"",VLOOKUP(G761,Issues!A:D,4,FALSE))</f>
        <v>Critico</v>
      </c>
      <c r="K761" s="21" t="str">
        <f t="shared" si="35"/>
        <v>Issue</v>
      </c>
    </row>
    <row r="762" spans="1:11" x14ac:dyDescent="0.35">
      <c r="A762" s="23">
        <v>46133</v>
      </c>
      <c r="B762" s="19" t="str">
        <f t="shared" si="34"/>
        <v>abril</v>
      </c>
      <c r="C762" s="19" t="str">
        <f t="shared" si="36"/>
        <v>2026</v>
      </c>
      <c r="D762" s="25" t="s">
        <v>206</v>
      </c>
      <c r="E762" s="25" t="s">
        <v>18</v>
      </c>
      <c r="F762" s="25" t="s">
        <v>183</v>
      </c>
      <c r="G762" s="24">
        <v>704</v>
      </c>
      <c r="H762" s="19" t="str">
        <f>IF(LEN(G762)=0,"",VLOOKUP(G762,Issues!A:D,2,FALSE))</f>
        <v>(700) Interaccion MO/MT (On Demand)</v>
      </c>
      <c r="I762" s="20" t="str">
        <f>IF(LEN(G762)=0,"",VLOOKUP(G762,Issues!A:D,3,FALSE))</f>
        <v>Fallas en puntajes, trivias, creditos, etc.</v>
      </c>
      <c r="J762" s="19" t="str">
        <f>IF(LEN(G762)=0,"",VLOOKUP(G762,Issues!A:D,4,FALSE))</f>
        <v>Critico</v>
      </c>
      <c r="K762" s="21" t="str">
        <f t="shared" si="35"/>
        <v>Issue</v>
      </c>
    </row>
    <row r="763" spans="1:11" x14ac:dyDescent="0.35">
      <c r="A763" s="23">
        <v>46112</v>
      </c>
      <c r="B763" s="19" t="str">
        <f t="shared" si="34"/>
        <v>marzo</v>
      </c>
      <c r="C763" s="19" t="str">
        <f t="shared" si="36"/>
        <v>2026</v>
      </c>
      <c r="D763" s="25" t="s">
        <v>206</v>
      </c>
      <c r="E763" s="25" t="s">
        <v>12</v>
      </c>
      <c r="F763" s="25" t="s">
        <v>169</v>
      </c>
      <c r="G763" s="24">
        <v>108</v>
      </c>
      <c r="H763" s="19" t="str">
        <f>IF(LEN(G763)=0,"",VLOOKUP(G763,Issues!A:D,2,FALSE))</f>
        <v>(100)  Alta</v>
      </c>
      <c r="I763" s="20" t="str">
        <f>IF(LEN(G763)=0,"",VLOOKUP(G763,Issues!A:D,3,FALSE))</f>
        <v>Inconsistencias en t&amp;c en la lp.</v>
      </c>
      <c r="J763" s="19" t="str">
        <f>IF(LEN(G763)=0,"",VLOOKUP(G763,Issues!A:D,4,FALSE))</f>
        <v>Critico</v>
      </c>
      <c r="K763" s="21" t="str">
        <f t="shared" si="35"/>
        <v>Issue</v>
      </c>
    </row>
    <row r="764" spans="1:11" x14ac:dyDescent="0.35">
      <c r="A764" s="23">
        <v>46084</v>
      </c>
      <c r="B764" s="19" t="str">
        <f t="shared" si="34"/>
        <v>marzo</v>
      </c>
      <c r="C764" s="19" t="str">
        <f t="shared" si="36"/>
        <v>2026</v>
      </c>
      <c r="D764" s="25" t="s">
        <v>208</v>
      </c>
      <c r="E764" s="25" t="s">
        <v>23</v>
      </c>
      <c r="F764" s="25" t="s">
        <v>196</v>
      </c>
      <c r="G764" s="24">
        <v>800</v>
      </c>
      <c r="H764" s="19" t="str">
        <f>IF(LEN(G764)=0,"",VLOOKUP(G764,Issues!A:D,2,FALSE))</f>
        <v>(800) Politicas especiales operadores</v>
      </c>
      <c r="I764" s="20" t="str">
        <f>IF(LEN(G764)=0,"",VLOOKUP(G764,Issues!A:D,3,FALSE))</f>
        <v>Politicas de los operadores cumplidas.</v>
      </c>
      <c r="J764" s="19" t="str">
        <f>IF(LEN(G764)=0,"",VLOOKUP(G764,Issues!A:D,4,FALSE))</f>
        <v>Prueba OK</v>
      </c>
      <c r="K764" s="21" t="str">
        <f t="shared" si="35"/>
        <v>OK</v>
      </c>
    </row>
    <row r="765" spans="1:11" x14ac:dyDescent="0.35">
      <c r="A765" s="23">
        <v>46131</v>
      </c>
      <c r="B765" s="19" t="str">
        <f t="shared" si="34"/>
        <v>abril</v>
      </c>
      <c r="C765" s="19" t="str">
        <f t="shared" si="36"/>
        <v>2026</v>
      </c>
      <c r="D765" s="25" t="s">
        <v>207</v>
      </c>
      <c r="E765" s="25" t="s">
        <v>14</v>
      </c>
      <c r="F765" s="25" t="s">
        <v>170</v>
      </c>
      <c r="G765" s="24">
        <v>800</v>
      </c>
      <c r="H765" s="19" t="str">
        <f>IF(LEN(G765)=0,"",VLOOKUP(G765,Issues!A:D,2,FALSE))</f>
        <v>(800) Politicas especiales operadores</v>
      </c>
      <c r="I765" s="20" t="str">
        <f>IF(LEN(G765)=0,"",VLOOKUP(G765,Issues!A:D,3,FALSE))</f>
        <v>Politicas de los operadores cumplidas.</v>
      </c>
      <c r="J765" s="19" t="str">
        <f>IF(LEN(G765)=0,"",VLOOKUP(G765,Issues!A:D,4,FALSE))</f>
        <v>Prueba OK</v>
      </c>
      <c r="K765" s="21" t="str">
        <f t="shared" si="35"/>
        <v>OK</v>
      </c>
    </row>
    <row r="766" spans="1:11" x14ac:dyDescent="0.35">
      <c r="A766" s="23">
        <v>46118</v>
      </c>
      <c r="B766" s="19" t="str">
        <f t="shared" si="34"/>
        <v>abril</v>
      </c>
      <c r="C766" s="19" t="str">
        <f t="shared" si="36"/>
        <v>2026</v>
      </c>
      <c r="D766" s="25" t="s">
        <v>207</v>
      </c>
      <c r="E766" s="25" t="s">
        <v>23</v>
      </c>
      <c r="F766" s="25" t="s">
        <v>195</v>
      </c>
      <c r="G766" s="24">
        <v>210</v>
      </c>
      <c r="H766" s="19" t="str">
        <f>IF(LEN(G766)=0,"",VLOOKUP(G766,Issues!A:D,2,FALSE))</f>
        <v>(200) Contenidos</v>
      </c>
      <c r="I766" s="20" t="str">
        <f>IF(LEN(G766)=0,"",VLOOKUP(G766,Issues!A:D,3,FALSE))</f>
        <v>Contenido no apropiado - fuera de las politicas del operador.</v>
      </c>
      <c r="J766" s="19" t="str">
        <f>IF(LEN(G766)=0,"",VLOOKUP(G766,Issues!A:D,4,FALSE))</f>
        <v>Critico</v>
      </c>
      <c r="K766" s="21" t="str">
        <f t="shared" si="35"/>
        <v>Issue</v>
      </c>
    </row>
    <row r="767" spans="1:11" x14ac:dyDescent="0.35">
      <c r="A767" s="23">
        <v>46092</v>
      </c>
      <c r="B767" s="19" t="str">
        <f t="shared" si="34"/>
        <v>marzo</v>
      </c>
      <c r="C767" s="19" t="str">
        <f t="shared" si="36"/>
        <v>2026</v>
      </c>
      <c r="D767" s="25" t="s">
        <v>208</v>
      </c>
      <c r="E767" s="25" t="s">
        <v>17</v>
      </c>
      <c r="F767" s="25" t="s">
        <v>180</v>
      </c>
      <c r="G767" s="24">
        <v>101</v>
      </c>
      <c r="H767" s="19" t="str">
        <f>IF(LEN(G767)=0,"",VLOOKUP(G767,Issues!A:D,2,FALSE))</f>
        <v>(100)  Alta</v>
      </c>
      <c r="I767" s="20" t="str">
        <f>IF(LEN(G767)=0,"",VLOOKUP(G767,Issues!A:D,3,FALSE))</f>
        <v>No se genero el alta - no hay respuesta al kw.</v>
      </c>
      <c r="J767" s="19" t="str">
        <f>IF(LEN(G767)=0,"",VLOOKUP(G767,Issues!A:D,4,FALSE))</f>
        <v>Critico</v>
      </c>
      <c r="K767" s="21" t="str">
        <f t="shared" si="35"/>
        <v>Issue</v>
      </c>
    </row>
    <row r="768" spans="1:11" x14ac:dyDescent="0.35">
      <c r="A768" s="23">
        <v>46043</v>
      </c>
      <c r="B768" s="19" t="str">
        <f t="shared" si="34"/>
        <v>enero</v>
      </c>
      <c r="C768" s="19" t="str">
        <f t="shared" si="36"/>
        <v>2026</v>
      </c>
      <c r="D768" s="25" t="s">
        <v>206</v>
      </c>
      <c r="E768" s="25" t="s">
        <v>17</v>
      </c>
      <c r="F768" s="25" t="s">
        <v>181</v>
      </c>
      <c r="G768" s="24">
        <v>307</v>
      </c>
      <c r="H768" s="19" t="str">
        <f>IF(LEN(G768)=0,"",VLOOKUP(G768,Issues!A:D,2,FALSE))</f>
        <v>(300) Cobros</v>
      </c>
      <c r="I768" s="20" t="str">
        <f>IF(LEN(G768)=0,"",VLOOKUP(G768,Issues!A:D,3,FALSE))</f>
        <v>Inconsistencias con el cobro escalonado.</v>
      </c>
      <c r="J768" s="19" t="str">
        <f>IF(LEN(G768)=0,"",VLOOKUP(G768,Issues!A:D,4,FALSE))</f>
        <v>Critico</v>
      </c>
      <c r="K768" s="21" t="str">
        <f t="shared" si="35"/>
        <v>Issue</v>
      </c>
    </row>
    <row r="769" spans="1:11" x14ac:dyDescent="0.35">
      <c r="A769" s="23">
        <v>46110</v>
      </c>
      <c r="B769" s="19" t="str">
        <f t="shared" si="34"/>
        <v>marzo</v>
      </c>
      <c r="C769" s="19" t="str">
        <f t="shared" si="36"/>
        <v>2026</v>
      </c>
      <c r="D769" s="25" t="s">
        <v>207</v>
      </c>
      <c r="E769" s="25" t="s">
        <v>27</v>
      </c>
      <c r="F769" s="25" t="s">
        <v>200</v>
      </c>
      <c r="G769" s="24">
        <v>400</v>
      </c>
      <c r="H769" s="19" t="str">
        <f>IF(LEN(G769)=0,"",VLOOKUP(G769,Issues!A:D,2,FALSE))</f>
        <v>(400) Portales / Web-App</v>
      </c>
      <c r="I769" s="20" t="str">
        <f>IF(LEN(G769)=0,"",VLOOKUP(G769,Issues!A:D,3,FALSE))</f>
        <v>Portal evaluado con éxito.</v>
      </c>
      <c r="J769" s="19" t="str">
        <f>IF(LEN(G769)=0,"",VLOOKUP(G769,Issues!A:D,4,FALSE))</f>
        <v>Prueba OK</v>
      </c>
      <c r="K769" s="21" t="str">
        <f t="shared" si="35"/>
        <v>OK</v>
      </c>
    </row>
    <row r="770" spans="1:11" x14ac:dyDescent="0.35">
      <c r="A770" s="23">
        <v>46027</v>
      </c>
      <c r="B770" s="19" t="str">
        <f t="shared" si="34"/>
        <v>enero</v>
      </c>
      <c r="C770" s="19" t="str">
        <f t="shared" si="36"/>
        <v>2026</v>
      </c>
      <c r="D770" s="25" t="s">
        <v>207</v>
      </c>
      <c r="E770" s="25" t="s">
        <v>12</v>
      </c>
      <c r="F770" s="25" t="s">
        <v>168</v>
      </c>
      <c r="G770" s="24">
        <v>200</v>
      </c>
      <c r="H770" s="19" t="str">
        <f>IF(LEN(G770)=0,"",VLOOKUP(G770,Issues!A:D,2,FALSE))</f>
        <v>(200) Contenidos</v>
      </c>
      <c r="I770" s="20" t="str">
        <f>IF(LEN(G770)=0,"",VLOOKUP(G770,Issues!A:D,3,FALSE))</f>
        <v>Contenidos recibido con éxito.</v>
      </c>
      <c r="J770" s="19" t="str">
        <f>IF(LEN(G770)=0,"",VLOOKUP(G770,Issues!A:D,4,FALSE))</f>
        <v>Prueba OK</v>
      </c>
      <c r="K770" s="21" t="str">
        <f t="shared" si="35"/>
        <v>OK</v>
      </c>
    </row>
    <row r="771" spans="1:11" x14ac:dyDescent="0.35">
      <c r="A771" s="23">
        <v>46063</v>
      </c>
      <c r="B771" s="19" t="str">
        <f t="shared" ref="B771:B834" si="37">IF(LEN(A771)=0,"",TEXT(A771,"mmmm"))</f>
        <v>febrero</v>
      </c>
      <c r="C771" s="19" t="str">
        <f t="shared" si="36"/>
        <v>2026</v>
      </c>
      <c r="D771" s="25" t="s">
        <v>207</v>
      </c>
      <c r="E771" s="25" t="s">
        <v>12</v>
      </c>
      <c r="F771" s="25" t="s">
        <v>167</v>
      </c>
      <c r="G771" s="24">
        <v>300</v>
      </c>
      <c r="H771" s="19" t="str">
        <f>IF(LEN(G771)=0,"",VLOOKUP(G771,Issues!A:D,2,FALSE))</f>
        <v>(300) Cobros</v>
      </c>
      <c r="I771" s="20" t="str">
        <f>IF(LEN(G771)=0,"",VLOOKUP(G771,Issues!A:D,3,FALSE))</f>
        <v>Cobro en valor y forma correcto.</v>
      </c>
      <c r="J771" s="19" t="str">
        <f>IF(LEN(G771)=0,"",VLOOKUP(G771,Issues!A:D,4,FALSE))</f>
        <v>Prueba OK</v>
      </c>
      <c r="K771" s="21" t="str">
        <f t="shared" ref="K771:K834" si="38">IF(LEN(G771)=0,"",IF(OR(J771="critico",J771="Medio",J771="Bajo"),"Issue",IF(J771="Prueba OK","OK","")))</f>
        <v>OK</v>
      </c>
    </row>
    <row r="772" spans="1:11" x14ac:dyDescent="0.35">
      <c r="A772" s="23">
        <v>46155</v>
      </c>
      <c r="B772" s="19" t="str">
        <f t="shared" si="37"/>
        <v>mayo</v>
      </c>
      <c r="C772" s="19" t="str">
        <f t="shared" si="36"/>
        <v>2026</v>
      </c>
      <c r="D772" s="25" t="s">
        <v>207</v>
      </c>
      <c r="E772" s="25" t="s">
        <v>13</v>
      </c>
      <c r="F772" s="25" t="s">
        <v>149</v>
      </c>
      <c r="G772" s="24">
        <v>300</v>
      </c>
      <c r="H772" s="19" t="str">
        <f>IF(LEN(G772)=0,"",VLOOKUP(G772,Issues!A:D,2,FALSE))</f>
        <v>(300) Cobros</v>
      </c>
      <c r="I772" s="20" t="str">
        <f>IF(LEN(G772)=0,"",VLOOKUP(G772,Issues!A:D,3,FALSE))</f>
        <v>Cobro en valor y forma correcto.</v>
      </c>
      <c r="J772" s="19" t="str">
        <f>IF(LEN(G772)=0,"",VLOOKUP(G772,Issues!A:D,4,FALSE))</f>
        <v>Prueba OK</v>
      </c>
      <c r="K772" s="21" t="str">
        <f t="shared" si="38"/>
        <v>OK</v>
      </c>
    </row>
    <row r="773" spans="1:11" x14ac:dyDescent="0.35">
      <c r="A773" s="23">
        <v>46060</v>
      </c>
      <c r="B773" s="19" t="str">
        <f t="shared" si="37"/>
        <v>febrero</v>
      </c>
      <c r="C773" s="19" t="str">
        <f t="shared" si="36"/>
        <v>2026</v>
      </c>
      <c r="D773" s="25" t="s">
        <v>207</v>
      </c>
      <c r="E773" s="25" t="s">
        <v>10</v>
      </c>
      <c r="F773" s="25" t="s">
        <v>161</v>
      </c>
      <c r="G773" s="24">
        <v>700</v>
      </c>
      <c r="H773" s="19" t="str">
        <f>IF(LEN(G773)=0,"",VLOOKUP(G773,Issues!A:D,2,FALSE))</f>
        <v>(700) Interaccion MO/MT (On Demand)</v>
      </c>
      <c r="I773" s="20" t="str">
        <f>IF(LEN(G773)=0,"",VLOOKUP(G773,Issues!A:D,3,FALSE))</f>
        <v>Flujo MO/MT con éxito.</v>
      </c>
      <c r="J773" s="19" t="str">
        <f>IF(LEN(G773)=0,"",VLOOKUP(G773,Issues!A:D,4,FALSE))</f>
        <v>Prueba OK</v>
      </c>
      <c r="K773" s="21" t="str">
        <f t="shared" si="38"/>
        <v>OK</v>
      </c>
    </row>
    <row r="774" spans="1:11" x14ac:dyDescent="0.35">
      <c r="A774" s="23">
        <v>46069</v>
      </c>
      <c r="B774" s="19" t="str">
        <f t="shared" si="37"/>
        <v>febrero</v>
      </c>
      <c r="C774" s="19" t="str">
        <f t="shared" si="36"/>
        <v>2026</v>
      </c>
      <c r="D774" s="25" t="s">
        <v>205</v>
      </c>
      <c r="E774" s="25" t="s">
        <v>21</v>
      </c>
      <c r="F774" s="25" t="s">
        <v>193</v>
      </c>
      <c r="G774" s="24">
        <v>409</v>
      </c>
      <c r="H774" s="19" t="str">
        <f>IF(LEN(G774)=0,"",VLOOKUP(G774,Issues!A:D,2,FALSE))</f>
        <v>(400) Portales / Web-App</v>
      </c>
      <c r="I774" s="20" t="str">
        <f>IF(LEN(G774)=0,"",VLOOKUP(G774,Issues!A:D,3,FALSE))</f>
        <v>409 no cumple con caracteristicas de diseño responsive.</v>
      </c>
      <c r="J774" s="19" t="str">
        <f>IF(LEN(G774)=0,"",VLOOKUP(G774,Issues!A:D,4,FALSE))</f>
        <v>Critico</v>
      </c>
      <c r="K774" s="21" t="str">
        <f t="shared" si="38"/>
        <v>Issue</v>
      </c>
    </row>
    <row r="775" spans="1:11" x14ac:dyDescent="0.35">
      <c r="A775" s="23">
        <v>46046</v>
      </c>
      <c r="B775" s="19" t="str">
        <f t="shared" si="37"/>
        <v>enero</v>
      </c>
      <c r="C775" s="19" t="str">
        <f t="shared" si="36"/>
        <v>2026</v>
      </c>
      <c r="D775" s="25" t="s">
        <v>208</v>
      </c>
      <c r="E775" s="25" t="s">
        <v>24</v>
      </c>
      <c r="F775" s="25" t="s">
        <v>151</v>
      </c>
      <c r="G775" s="24">
        <v>404</v>
      </c>
      <c r="H775" s="19" t="str">
        <f>IF(LEN(G775)=0,"",VLOOKUP(G775,Issues!A:D,2,FALSE))</f>
        <v>(400) Portales / Web-App</v>
      </c>
      <c r="I775" s="20" t="str">
        <f>IF(LEN(G775)=0,"",VLOOKUP(G775,Issues!A:D,3,FALSE))</f>
        <v>No cumple las politicas de estructura del operador.</v>
      </c>
      <c r="J775" s="19" t="str">
        <f>IF(LEN(G775)=0,"",VLOOKUP(G775,Issues!A:D,4,FALSE))</f>
        <v>Critico</v>
      </c>
      <c r="K775" s="21" t="str">
        <f t="shared" si="38"/>
        <v>Issue</v>
      </c>
    </row>
    <row r="776" spans="1:11" x14ac:dyDescent="0.35">
      <c r="A776" s="23">
        <v>46120</v>
      </c>
      <c r="B776" s="19" t="str">
        <f t="shared" si="37"/>
        <v>abril</v>
      </c>
      <c r="C776" s="19" t="str">
        <f t="shared" si="36"/>
        <v>2026</v>
      </c>
      <c r="D776" s="25" t="s">
        <v>208</v>
      </c>
      <c r="E776" s="25" t="s">
        <v>23</v>
      </c>
      <c r="F776" s="25" t="s">
        <v>196</v>
      </c>
      <c r="G776" s="24">
        <v>111</v>
      </c>
      <c r="H776" s="19" t="str">
        <f>IF(LEN(G776)=0,"",VLOOKUP(G776,Issues!A:D,2,FALSE))</f>
        <v>(100)  Alta</v>
      </c>
      <c r="I776" s="20" t="str">
        <f>IF(LEN(G776)=0,"",VLOOKUP(G776,Issues!A:D,3,FALSE))</f>
        <v>Falla en alta a traves de sim.</v>
      </c>
      <c r="J776" s="19" t="str">
        <f>IF(LEN(G776)=0,"",VLOOKUP(G776,Issues!A:D,4,FALSE))</f>
        <v>Critico</v>
      </c>
      <c r="K776" s="21" t="str">
        <f t="shared" si="38"/>
        <v>Issue</v>
      </c>
    </row>
    <row r="777" spans="1:11" x14ac:dyDescent="0.35">
      <c r="A777" s="23">
        <v>46154</v>
      </c>
      <c r="B777" s="19" t="str">
        <f t="shared" si="37"/>
        <v>mayo</v>
      </c>
      <c r="C777" s="19" t="str">
        <f t="shared" si="36"/>
        <v>2026</v>
      </c>
      <c r="D777" s="25" t="s">
        <v>208</v>
      </c>
      <c r="E777" s="25" t="s">
        <v>13</v>
      </c>
      <c r="F777" s="25" t="s">
        <v>157</v>
      </c>
      <c r="G777" s="24">
        <v>102</v>
      </c>
      <c r="H777" s="19" t="str">
        <f>IF(LEN(G777)=0,"",VLOOKUP(G777,Issues!A:D,2,FALSE))</f>
        <v>(100)  Alta</v>
      </c>
      <c r="I777" s="20" t="str">
        <f>IF(LEN(G777)=0,"",VLOOKUP(G777,Issues!A:D,3,FALSE))</f>
        <v>Falla en doble optin en sms.</v>
      </c>
      <c r="J777" s="19" t="str">
        <f>IF(LEN(G777)=0,"",VLOOKUP(G777,Issues!A:D,4,FALSE))</f>
        <v>Critico</v>
      </c>
      <c r="K777" s="21" t="str">
        <f t="shared" si="38"/>
        <v>Issue</v>
      </c>
    </row>
    <row r="778" spans="1:11" x14ac:dyDescent="0.35">
      <c r="A778" s="23">
        <v>46129</v>
      </c>
      <c r="B778" s="19" t="str">
        <f t="shared" si="37"/>
        <v>abril</v>
      </c>
      <c r="C778" s="19" t="str">
        <f t="shared" si="36"/>
        <v>2026</v>
      </c>
      <c r="D778" s="25" t="s">
        <v>207</v>
      </c>
      <c r="E778" s="25" t="s">
        <v>12</v>
      </c>
      <c r="F778" s="25" t="s">
        <v>169</v>
      </c>
      <c r="G778" s="24">
        <v>703</v>
      </c>
      <c r="H778" s="19" t="str">
        <f>IF(LEN(G778)=0,"",VLOOKUP(G778,Issues!A:D,2,FALSE))</f>
        <v>(700) Interaccion MO/MT (On Demand)</v>
      </c>
      <c r="I778" s="20" t="str">
        <f>IF(LEN(G778)=0,"",VLOOKUP(G778,Issues!A:D,3,FALSE))</f>
        <v>Fallas en la interaccion mo/mt.</v>
      </c>
      <c r="J778" s="19" t="str">
        <f>IF(LEN(G778)=0,"",VLOOKUP(G778,Issues!A:D,4,FALSE))</f>
        <v>Critico</v>
      </c>
      <c r="K778" s="21" t="str">
        <f t="shared" si="38"/>
        <v>Issue</v>
      </c>
    </row>
    <row r="779" spans="1:11" x14ac:dyDescent="0.35">
      <c r="A779" s="23">
        <v>46091</v>
      </c>
      <c r="B779" s="19" t="str">
        <f t="shared" si="37"/>
        <v>marzo</v>
      </c>
      <c r="C779" s="19" t="str">
        <f t="shared" si="36"/>
        <v>2026</v>
      </c>
      <c r="D779" s="25" t="s">
        <v>207</v>
      </c>
      <c r="E779" s="25" t="s">
        <v>17</v>
      </c>
      <c r="F779" s="25" t="s">
        <v>180</v>
      </c>
      <c r="G779" s="24">
        <v>500</v>
      </c>
      <c r="H779" s="19" t="str">
        <f>IF(LEN(G779)=0,"",VLOOKUP(G779,Issues!A:D,2,FALSE))</f>
        <v>(500) Baja / Cancelacion</v>
      </c>
      <c r="I779" s="20" t="str">
        <f>IF(LEN(G779)=0,"",VLOOKUP(G779,Issues!A:D,3,FALSE))</f>
        <v>Baja con éxito.</v>
      </c>
      <c r="J779" s="19" t="str">
        <f>IF(LEN(G779)=0,"",VLOOKUP(G779,Issues!A:D,4,FALSE))</f>
        <v>Prueba OK</v>
      </c>
      <c r="K779" s="21" t="str">
        <f t="shared" si="38"/>
        <v>OK</v>
      </c>
    </row>
    <row r="780" spans="1:11" x14ac:dyDescent="0.35">
      <c r="A780" s="23">
        <v>46156</v>
      </c>
      <c r="B780" s="19" t="str">
        <f t="shared" si="37"/>
        <v>mayo</v>
      </c>
      <c r="C780" s="19" t="str">
        <f t="shared" si="36"/>
        <v>2026</v>
      </c>
      <c r="D780" s="25" t="s">
        <v>207</v>
      </c>
      <c r="E780" s="25" t="s">
        <v>21</v>
      </c>
      <c r="F780" s="25" t="s">
        <v>192</v>
      </c>
      <c r="G780" s="24">
        <v>400</v>
      </c>
      <c r="H780" s="19" t="str">
        <f>IF(LEN(G780)=0,"",VLOOKUP(G780,Issues!A:D,2,FALSE))</f>
        <v>(400) Portales / Web-App</v>
      </c>
      <c r="I780" s="20" t="str">
        <f>IF(LEN(G780)=0,"",VLOOKUP(G780,Issues!A:D,3,FALSE))</f>
        <v>Portal evaluado con éxito.</v>
      </c>
      <c r="J780" s="19" t="str">
        <f>IF(LEN(G780)=0,"",VLOOKUP(G780,Issues!A:D,4,FALSE))</f>
        <v>Prueba OK</v>
      </c>
      <c r="K780" s="21" t="str">
        <f t="shared" si="38"/>
        <v>OK</v>
      </c>
    </row>
    <row r="781" spans="1:11" x14ac:dyDescent="0.35">
      <c r="A781" s="23">
        <v>46056</v>
      </c>
      <c r="B781" s="19" t="str">
        <f t="shared" si="37"/>
        <v>febrero</v>
      </c>
      <c r="C781" s="19" t="str">
        <f t="shared" si="36"/>
        <v>2026</v>
      </c>
      <c r="D781" s="25" t="s">
        <v>207</v>
      </c>
      <c r="E781" s="25" t="s">
        <v>19</v>
      </c>
      <c r="F781" s="25" t="s">
        <v>186</v>
      </c>
      <c r="G781" s="24">
        <v>408</v>
      </c>
      <c r="H781" s="19" t="str">
        <f>IF(LEN(G781)=0,"",VLOOKUP(G781,Issues!A:D,2,FALSE))</f>
        <v>(400) Portales / Web-App</v>
      </c>
      <c r="I781" s="20" t="str">
        <f>IF(LEN(G781)=0,"",VLOOKUP(G781,Issues!A:D,3,FALSE))</f>
        <v>Inconsistencias en los t&amp;c del portal / web-app.</v>
      </c>
      <c r="J781" s="19" t="str">
        <f>IF(LEN(G781)=0,"",VLOOKUP(G781,Issues!A:D,4,FALSE))</f>
        <v>Critico</v>
      </c>
      <c r="K781" s="21" t="str">
        <f t="shared" si="38"/>
        <v>Issue</v>
      </c>
    </row>
    <row r="782" spans="1:11" x14ac:dyDescent="0.35">
      <c r="A782" s="23">
        <v>46049</v>
      </c>
      <c r="B782" s="19" t="str">
        <f t="shared" si="37"/>
        <v>enero</v>
      </c>
      <c r="C782" s="19" t="str">
        <f t="shared" si="36"/>
        <v>2026</v>
      </c>
      <c r="D782" s="25" t="s">
        <v>207</v>
      </c>
      <c r="E782" s="25" t="s">
        <v>17</v>
      </c>
      <c r="F782" s="25" t="s">
        <v>180</v>
      </c>
      <c r="G782" s="24">
        <v>702</v>
      </c>
      <c r="H782" s="19" t="str">
        <f>IF(LEN(G782)=0,"",VLOOKUP(G782,Issues!A:D,2,FALSE))</f>
        <v>(700) Interaccion MO/MT (On Demand)</v>
      </c>
      <c r="I782" s="20" t="str">
        <f>IF(LEN(G782)=0,"",VLOOKUP(G782,Issues!A:D,3,FALSE))</f>
        <v>No se recibe mt.</v>
      </c>
      <c r="J782" s="19" t="str">
        <f>IF(LEN(G782)=0,"",VLOOKUP(G782,Issues!A:D,4,FALSE))</f>
        <v>Critico</v>
      </c>
      <c r="K782" s="21" t="str">
        <f t="shared" si="38"/>
        <v>Issue</v>
      </c>
    </row>
    <row r="783" spans="1:11" x14ac:dyDescent="0.35">
      <c r="A783" s="23">
        <v>46119</v>
      </c>
      <c r="B783" s="19" t="str">
        <f t="shared" si="37"/>
        <v>abril</v>
      </c>
      <c r="C783" s="19" t="str">
        <f t="shared" si="36"/>
        <v>2026</v>
      </c>
      <c r="D783" s="25" t="s">
        <v>207</v>
      </c>
      <c r="E783" s="25" t="s">
        <v>23</v>
      </c>
      <c r="F783" s="25" t="s">
        <v>196</v>
      </c>
      <c r="G783" s="24">
        <v>210</v>
      </c>
      <c r="H783" s="19" t="str">
        <f>IF(LEN(G783)=0,"",VLOOKUP(G783,Issues!A:D,2,FALSE))</f>
        <v>(200) Contenidos</v>
      </c>
      <c r="I783" s="20" t="str">
        <f>IF(LEN(G783)=0,"",VLOOKUP(G783,Issues!A:D,3,FALSE))</f>
        <v>Contenido no apropiado - fuera de las politicas del operador.</v>
      </c>
      <c r="J783" s="19" t="str">
        <f>IF(LEN(G783)=0,"",VLOOKUP(G783,Issues!A:D,4,FALSE))</f>
        <v>Critico</v>
      </c>
      <c r="K783" s="21" t="str">
        <f t="shared" si="38"/>
        <v>Issue</v>
      </c>
    </row>
    <row r="784" spans="1:11" x14ac:dyDescent="0.35">
      <c r="A784" s="23">
        <v>46027</v>
      </c>
      <c r="B784" s="19" t="str">
        <f t="shared" si="37"/>
        <v>enero</v>
      </c>
      <c r="C784" s="19" t="str">
        <f t="shared" si="36"/>
        <v>2026</v>
      </c>
      <c r="D784" s="25" t="s">
        <v>206</v>
      </c>
      <c r="E784" s="25" t="s">
        <v>16</v>
      </c>
      <c r="F784" s="25" t="s">
        <v>178</v>
      </c>
      <c r="G784" s="24">
        <v>704</v>
      </c>
      <c r="H784" s="19" t="str">
        <f>IF(LEN(G784)=0,"",VLOOKUP(G784,Issues!A:D,2,FALSE))</f>
        <v>(700) Interaccion MO/MT (On Demand)</v>
      </c>
      <c r="I784" s="20" t="str">
        <f>IF(LEN(G784)=0,"",VLOOKUP(G784,Issues!A:D,3,FALSE))</f>
        <v>Fallas en puntajes, trivias, creditos, etc.</v>
      </c>
      <c r="J784" s="19" t="str">
        <f>IF(LEN(G784)=0,"",VLOOKUP(G784,Issues!A:D,4,FALSE))</f>
        <v>Critico</v>
      </c>
      <c r="K784" s="21" t="str">
        <f t="shared" si="38"/>
        <v>Issue</v>
      </c>
    </row>
    <row r="785" spans="1:11" x14ac:dyDescent="0.35">
      <c r="A785" s="23">
        <v>46107</v>
      </c>
      <c r="B785" s="19" t="str">
        <f t="shared" si="37"/>
        <v>marzo</v>
      </c>
      <c r="C785" s="19" t="str">
        <f t="shared" si="36"/>
        <v>2026</v>
      </c>
      <c r="D785" s="25" t="s">
        <v>206</v>
      </c>
      <c r="E785" s="25" t="s">
        <v>17</v>
      </c>
      <c r="F785" s="25" t="s">
        <v>180</v>
      </c>
      <c r="G785" s="24">
        <v>400</v>
      </c>
      <c r="H785" s="19" t="str">
        <f>IF(LEN(G785)=0,"",VLOOKUP(G785,Issues!A:D,2,FALSE))</f>
        <v>(400) Portales / Web-App</v>
      </c>
      <c r="I785" s="20" t="str">
        <f>IF(LEN(G785)=0,"",VLOOKUP(G785,Issues!A:D,3,FALSE))</f>
        <v>Portal evaluado con éxito.</v>
      </c>
      <c r="J785" s="19" t="str">
        <f>IF(LEN(G785)=0,"",VLOOKUP(G785,Issues!A:D,4,FALSE))</f>
        <v>Prueba OK</v>
      </c>
      <c r="K785" s="21" t="str">
        <f t="shared" si="38"/>
        <v>OK</v>
      </c>
    </row>
    <row r="786" spans="1:11" x14ac:dyDescent="0.35">
      <c r="A786" s="23">
        <v>46045</v>
      </c>
      <c r="B786" s="19" t="str">
        <f t="shared" si="37"/>
        <v>enero</v>
      </c>
      <c r="C786" s="19" t="str">
        <f t="shared" si="36"/>
        <v>2026</v>
      </c>
      <c r="D786" s="25" t="s">
        <v>206</v>
      </c>
      <c r="E786" s="25" t="s">
        <v>19</v>
      </c>
      <c r="F786" s="25" t="s">
        <v>187</v>
      </c>
      <c r="G786" s="24">
        <v>200</v>
      </c>
      <c r="H786" s="19" t="str">
        <f>IF(LEN(G786)=0,"",VLOOKUP(G786,Issues!A:D,2,FALSE))</f>
        <v>(200) Contenidos</v>
      </c>
      <c r="I786" s="20" t="str">
        <f>IF(LEN(G786)=0,"",VLOOKUP(G786,Issues!A:D,3,FALSE))</f>
        <v>Contenidos recibido con éxito.</v>
      </c>
      <c r="J786" s="19" t="str">
        <f>IF(LEN(G786)=0,"",VLOOKUP(G786,Issues!A:D,4,FALSE))</f>
        <v>Prueba OK</v>
      </c>
      <c r="K786" s="21" t="str">
        <f t="shared" si="38"/>
        <v>OK</v>
      </c>
    </row>
    <row r="787" spans="1:11" x14ac:dyDescent="0.35">
      <c r="A787" s="23">
        <v>46080</v>
      </c>
      <c r="B787" s="19" t="str">
        <f t="shared" si="37"/>
        <v>febrero</v>
      </c>
      <c r="C787" s="19" t="str">
        <f t="shared" ref="C787:C850" si="39">IF(LEN(A787)=0,"",TEXT(A787,"aaaa"))</f>
        <v>2026</v>
      </c>
      <c r="D787" s="25" t="s">
        <v>207</v>
      </c>
      <c r="E787" s="25" t="s">
        <v>13</v>
      </c>
      <c r="F787" s="25" t="s">
        <v>157</v>
      </c>
      <c r="G787" s="24">
        <v>111</v>
      </c>
      <c r="H787" s="19" t="str">
        <f>IF(LEN(G787)=0,"",VLOOKUP(G787,Issues!A:D,2,FALSE))</f>
        <v>(100)  Alta</v>
      </c>
      <c r="I787" s="20" t="str">
        <f>IF(LEN(G787)=0,"",VLOOKUP(G787,Issues!A:D,3,FALSE))</f>
        <v>Falla en alta a traves de sim.</v>
      </c>
      <c r="J787" s="19" t="str">
        <f>IF(LEN(G787)=0,"",VLOOKUP(G787,Issues!A:D,4,FALSE))</f>
        <v>Critico</v>
      </c>
      <c r="K787" s="21" t="str">
        <f t="shared" si="38"/>
        <v>Issue</v>
      </c>
    </row>
    <row r="788" spans="1:11" x14ac:dyDescent="0.35">
      <c r="A788" s="23">
        <v>46129</v>
      </c>
      <c r="B788" s="19" t="str">
        <f t="shared" si="37"/>
        <v>abril</v>
      </c>
      <c r="C788" s="19" t="str">
        <f t="shared" si="39"/>
        <v>2026</v>
      </c>
      <c r="D788" s="25" t="s">
        <v>205</v>
      </c>
      <c r="E788" s="25" t="s">
        <v>22</v>
      </c>
      <c r="F788" s="25" t="s">
        <v>154</v>
      </c>
      <c r="G788" s="24">
        <v>700</v>
      </c>
      <c r="H788" s="19" t="str">
        <f>IF(LEN(G788)=0,"",VLOOKUP(G788,Issues!A:D,2,FALSE))</f>
        <v>(700) Interaccion MO/MT (On Demand)</v>
      </c>
      <c r="I788" s="20" t="str">
        <f>IF(LEN(G788)=0,"",VLOOKUP(G788,Issues!A:D,3,FALSE))</f>
        <v>Flujo MO/MT con éxito.</v>
      </c>
      <c r="J788" s="19" t="str">
        <f>IF(LEN(G788)=0,"",VLOOKUP(G788,Issues!A:D,4,FALSE))</f>
        <v>Prueba OK</v>
      </c>
      <c r="K788" s="21" t="str">
        <f t="shared" si="38"/>
        <v>OK</v>
      </c>
    </row>
    <row r="789" spans="1:11" x14ac:dyDescent="0.35">
      <c r="A789" s="23">
        <v>46141</v>
      </c>
      <c r="B789" s="19" t="str">
        <f t="shared" si="37"/>
        <v>abril</v>
      </c>
      <c r="C789" s="19" t="str">
        <f t="shared" si="39"/>
        <v>2026</v>
      </c>
      <c r="D789" s="25" t="s">
        <v>208</v>
      </c>
      <c r="E789" s="25" t="s">
        <v>22</v>
      </c>
      <c r="F789" s="25" t="s">
        <v>150</v>
      </c>
      <c r="G789" s="24">
        <v>300</v>
      </c>
      <c r="H789" s="19" t="str">
        <f>IF(LEN(G789)=0,"",VLOOKUP(G789,Issues!A:D,2,FALSE))</f>
        <v>(300) Cobros</v>
      </c>
      <c r="I789" s="20" t="str">
        <f>IF(LEN(G789)=0,"",VLOOKUP(G789,Issues!A:D,3,FALSE))</f>
        <v>Cobro en valor y forma correcto.</v>
      </c>
      <c r="J789" s="19" t="str">
        <f>IF(LEN(G789)=0,"",VLOOKUP(G789,Issues!A:D,4,FALSE))</f>
        <v>Prueba OK</v>
      </c>
      <c r="K789" s="21" t="str">
        <f t="shared" si="38"/>
        <v>OK</v>
      </c>
    </row>
    <row r="790" spans="1:11" x14ac:dyDescent="0.35">
      <c r="A790" s="23">
        <v>46154</v>
      </c>
      <c r="B790" s="19" t="str">
        <f t="shared" si="37"/>
        <v>mayo</v>
      </c>
      <c r="C790" s="19" t="str">
        <f t="shared" si="39"/>
        <v>2026</v>
      </c>
      <c r="D790" s="25" t="s">
        <v>207</v>
      </c>
      <c r="E790" s="25" t="s">
        <v>25</v>
      </c>
      <c r="F790" s="25" t="s">
        <v>197</v>
      </c>
      <c r="G790" s="24">
        <v>111</v>
      </c>
      <c r="H790" s="19" t="str">
        <f>IF(LEN(G790)=0,"",VLOOKUP(G790,Issues!A:D,2,FALSE))</f>
        <v>(100)  Alta</v>
      </c>
      <c r="I790" s="20" t="str">
        <f>IF(LEN(G790)=0,"",VLOOKUP(G790,Issues!A:D,3,FALSE))</f>
        <v>Falla en alta a traves de sim.</v>
      </c>
      <c r="J790" s="19" t="str">
        <f>IF(LEN(G790)=0,"",VLOOKUP(G790,Issues!A:D,4,FALSE))</f>
        <v>Critico</v>
      </c>
      <c r="K790" s="21" t="str">
        <f t="shared" si="38"/>
        <v>Issue</v>
      </c>
    </row>
    <row r="791" spans="1:11" x14ac:dyDescent="0.35">
      <c r="A791" s="23">
        <v>46139</v>
      </c>
      <c r="B791" s="19" t="str">
        <f t="shared" si="37"/>
        <v>abril</v>
      </c>
      <c r="C791" s="19" t="str">
        <f t="shared" si="39"/>
        <v>2026</v>
      </c>
      <c r="D791" s="25" t="s">
        <v>206</v>
      </c>
      <c r="E791" s="25" t="s">
        <v>12</v>
      </c>
      <c r="F791" s="25" t="s">
        <v>169</v>
      </c>
      <c r="G791" s="24">
        <v>300</v>
      </c>
      <c r="H791" s="19" t="str">
        <f>IF(LEN(G791)=0,"",VLOOKUP(G791,Issues!A:D,2,FALSE))</f>
        <v>(300) Cobros</v>
      </c>
      <c r="I791" s="20" t="str">
        <f>IF(LEN(G791)=0,"",VLOOKUP(G791,Issues!A:D,3,FALSE))</f>
        <v>Cobro en valor y forma correcto.</v>
      </c>
      <c r="J791" s="19" t="str">
        <f>IF(LEN(G791)=0,"",VLOOKUP(G791,Issues!A:D,4,FALSE))</f>
        <v>Prueba OK</v>
      </c>
      <c r="K791" s="21" t="str">
        <f t="shared" si="38"/>
        <v>OK</v>
      </c>
    </row>
    <row r="792" spans="1:11" x14ac:dyDescent="0.35">
      <c r="A792" s="23">
        <v>46132</v>
      </c>
      <c r="B792" s="19" t="str">
        <f t="shared" si="37"/>
        <v>abril</v>
      </c>
      <c r="C792" s="19" t="str">
        <f t="shared" si="39"/>
        <v>2026</v>
      </c>
      <c r="D792" s="25" t="s">
        <v>205</v>
      </c>
      <c r="E792" s="25" t="s">
        <v>20</v>
      </c>
      <c r="F792" s="25" t="s">
        <v>190</v>
      </c>
      <c r="G792" s="24">
        <v>100</v>
      </c>
      <c r="H792" s="19" t="str">
        <f>IF(LEN(G792)=0,"",VLOOKUP(G792,Issues!A:D,2,FALSE))</f>
        <v>(100)  Alta</v>
      </c>
      <c r="I792" s="20" t="str">
        <f>IF(LEN(G792)=0,"",VLOOKUP(G792,Issues!A:D,3,FALSE))</f>
        <v>Alta con éxito.</v>
      </c>
      <c r="J792" s="19" t="str">
        <f>IF(LEN(G792)=0,"",VLOOKUP(G792,Issues!A:D,4,FALSE))</f>
        <v>Prueba OK</v>
      </c>
      <c r="K792" s="21" t="str">
        <f t="shared" si="38"/>
        <v>OK</v>
      </c>
    </row>
    <row r="793" spans="1:11" x14ac:dyDescent="0.35">
      <c r="A793" s="23">
        <v>46110</v>
      </c>
      <c r="B793" s="19" t="str">
        <f t="shared" si="37"/>
        <v>marzo</v>
      </c>
      <c r="C793" s="19" t="str">
        <f t="shared" si="39"/>
        <v>2026</v>
      </c>
      <c r="D793" s="25" t="s">
        <v>207</v>
      </c>
      <c r="E793" s="25" t="s">
        <v>11</v>
      </c>
      <c r="F793" s="25" t="s">
        <v>166</v>
      </c>
      <c r="G793" s="24">
        <v>505</v>
      </c>
      <c r="H793" s="19" t="str">
        <f>IF(LEN(G793)=0,"",VLOOKUP(G793,Issues!A:D,2,FALSE))</f>
        <v>(500) Baja / Cancelacion</v>
      </c>
      <c r="I793" s="20" t="str">
        <f>IF(LEN(G793)=0,"",VLOOKUP(G793,Issues!A:D,3,FALSE))</f>
        <v>No funciona la baja desde tienda.</v>
      </c>
      <c r="J793" s="19" t="str">
        <f>IF(LEN(G793)=0,"",VLOOKUP(G793,Issues!A:D,4,FALSE))</f>
        <v>Critico</v>
      </c>
      <c r="K793" s="21" t="str">
        <f t="shared" si="38"/>
        <v>Issue</v>
      </c>
    </row>
    <row r="794" spans="1:11" x14ac:dyDescent="0.35">
      <c r="A794" s="23">
        <v>46066</v>
      </c>
      <c r="B794" s="19" t="str">
        <f t="shared" si="37"/>
        <v>febrero</v>
      </c>
      <c r="C794" s="19" t="str">
        <f t="shared" si="39"/>
        <v>2026</v>
      </c>
      <c r="D794" s="25" t="s">
        <v>207</v>
      </c>
      <c r="E794" s="25" t="s">
        <v>18</v>
      </c>
      <c r="F794" s="25" t="s">
        <v>182</v>
      </c>
      <c r="G794" s="24">
        <v>800</v>
      </c>
      <c r="H794" s="19" t="str">
        <f>IF(LEN(G794)=0,"",VLOOKUP(G794,Issues!A:D,2,FALSE))</f>
        <v>(800) Politicas especiales operadores</v>
      </c>
      <c r="I794" s="20" t="str">
        <f>IF(LEN(G794)=0,"",VLOOKUP(G794,Issues!A:D,3,FALSE))</f>
        <v>Politicas de los operadores cumplidas.</v>
      </c>
      <c r="J794" s="19" t="str">
        <f>IF(LEN(G794)=0,"",VLOOKUP(G794,Issues!A:D,4,FALSE))</f>
        <v>Prueba OK</v>
      </c>
      <c r="K794" s="21" t="str">
        <f t="shared" si="38"/>
        <v>OK</v>
      </c>
    </row>
    <row r="795" spans="1:11" x14ac:dyDescent="0.35">
      <c r="A795" s="23">
        <v>46031</v>
      </c>
      <c r="B795" s="19" t="str">
        <f t="shared" si="37"/>
        <v>enero</v>
      </c>
      <c r="C795" s="19" t="str">
        <f t="shared" si="39"/>
        <v>2026</v>
      </c>
      <c r="D795" s="25" t="s">
        <v>206</v>
      </c>
      <c r="E795" s="25" t="s">
        <v>20</v>
      </c>
      <c r="F795" s="25" t="s">
        <v>189</v>
      </c>
      <c r="G795" s="24">
        <v>300</v>
      </c>
      <c r="H795" s="19" t="str">
        <f>IF(LEN(G795)=0,"",VLOOKUP(G795,Issues!A:D,2,FALSE))</f>
        <v>(300) Cobros</v>
      </c>
      <c r="I795" s="20" t="str">
        <f>IF(LEN(G795)=0,"",VLOOKUP(G795,Issues!A:D,3,FALSE))</f>
        <v>Cobro en valor y forma correcto.</v>
      </c>
      <c r="J795" s="19" t="str">
        <f>IF(LEN(G795)=0,"",VLOOKUP(G795,Issues!A:D,4,FALSE))</f>
        <v>Prueba OK</v>
      </c>
      <c r="K795" s="21" t="str">
        <f t="shared" si="38"/>
        <v>OK</v>
      </c>
    </row>
    <row r="796" spans="1:11" x14ac:dyDescent="0.35">
      <c r="A796" s="23">
        <v>46050</v>
      </c>
      <c r="B796" s="19" t="str">
        <f t="shared" si="37"/>
        <v>enero</v>
      </c>
      <c r="C796" s="19" t="str">
        <f t="shared" si="39"/>
        <v>2026</v>
      </c>
      <c r="D796" s="25" t="s">
        <v>206</v>
      </c>
      <c r="E796" s="25" t="s">
        <v>14</v>
      </c>
      <c r="F796" s="25" t="s">
        <v>172</v>
      </c>
      <c r="G796" s="24">
        <v>700</v>
      </c>
      <c r="H796" s="19" t="str">
        <f>IF(LEN(G796)=0,"",VLOOKUP(G796,Issues!A:D,2,FALSE))</f>
        <v>(700) Interaccion MO/MT (On Demand)</v>
      </c>
      <c r="I796" s="20" t="str">
        <f>IF(LEN(G796)=0,"",VLOOKUP(G796,Issues!A:D,3,FALSE))</f>
        <v>Flujo MO/MT con éxito.</v>
      </c>
      <c r="J796" s="19" t="str">
        <f>IF(LEN(G796)=0,"",VLOOKUP(G796,Issues!A:D,4,FALSE))</f>
        <v>Prueba OK</v>
      </c>
      <c r="K796" s="21" t="str">
        <f t="shared" si="38"/>
        <v>OK</v>
      </c>
    </row>
    <row r="797" spans="1:11" x14ac:dyDescent="0.35">
      <c r="A797" s="23">
        <v>46052</v>
      </c>
      <c r="B797" s="19" t="str">
        <f t="shared" si="37"/>
        <v>enero</v>
      </c>
      <c r="C797" s="19" t="str">
        <f t="shared" si="39"/>
        <v>2026</v>
      </c>
      <c r="D797" s="25" t="s">
        <v>204</v>
      </c>
      <c r="E797" s="25" t="s">
        <v>24</v>
      </c>
      <c r="F797" s="25" t="s">
        <v>151</v>
      </c>
      <c r="G797" s="24">
        <v>105</v>
      </c>
      <c r="H797" s="19" t="str">
        <f>IF(LEN(G797)=0,"",VLOOKUP(G797,Issues!A:D,2,FALSE))</f>
        <v>(100)  Alta</v>
      </c>
      <c r="I797" s="20" t="str">
        <f>IF(LEN(G797)=0,"",VLOOKUP(G797,Issues!A:D,3,FALSE))</f>
        <v>Inconsistencia en el pin code.</v>
      </c>
      <c r="J797" s="19" t="str">
        <f>IF(LEN(G797)=0,"",VLOOKUP(G797,Issues!A:D,4,FALSE))</f>
        <v>Medio</v>
      </c>
      <c r="K797" s="21" t="str">
        <f t="shared" si="38"/>
        <v>Issue</v>
      </c>
    </row>
    <row r="798" spans="1:11" x14ac:dyDescent="0.35">
      <c r="A798" s="23">
        <v>46076</v>
      </c>
      <c r="B798" s="19" t="str">
        <f t="shared" si="37"/>
        <v>febrero</v>
      </c>
      <c r="C798" s="19" t="str">
        <f t="shared" si="39"/>
        <v>2026</v>
      </c>
      <c r="D798" s="25" t="s">
        <v>207</v>
      </c>
      <c r="E798" s="25" t="s">
        <v>23</v>
      </c>
      <c r="F798" s="25" t="s">
        <v>195</v>
      </c>
      <c r="G798" s="24">
        <v>800</v>
      </c>
      <c r="H798" s="19" t="str">
        <f>IF(LEN(G798)=0,"",VLOOKUP(G798,Issues!A:D,2,FALSE))</f>
        <v>(800) Politicas especiales operadores</v>
      </c>
      <c r="I798" s="20" t="str">
        <f>IF(LEN(G798)=0,"",VLOOKUP(G798,Issues!A:D,3,FALSE))</f>
        <v>Politicas de los operadores cumplidas.</v>
      </c>
      <c r="J798" s="19" t="str">
        <f>IF(LEN(G798)=0,"",VLOOKUP(G798,Issues!A:D,4,FALSE))</f>
        <v>Prueba OK</v>
      </c>
      <c r="K798" s="21" t="str">
        <f t="shared" si="38"/>
        <v>OK</v>
      </c>
    </row>
    <row r="799" spans="1:11" x14ac:dyDescent="0.35">
      <c r="A799" s="23">
        <v>46024</v>
      </c>
      <c r="B799" s="19" t="str">
        <f t="shared" si="37"/>
        <v>enero</v>
      </c>
      <c r="C799" s="19" t="str">
        <f t="shared" si="39"/>
        <v>2026</v>
      </c>
      <c r="D799" s="25" t="s">
        <v>207</v>
      </c>
      <c r="E799" s="25" t="s">
        <v>26</v>
      </c>
      <c r="F799" s="25" t="s">
        <v>152</v>
      </c>
      <c r="G799" s="24">
        <v>505</v>
      </c>
      <c r="H799" s="19" t="str">
        <f>IF(LEN(G799)=0,"",VLOOKUP(G799,Issues!A:D,2,FALSE))</f>
        <v>(500) Baja / Cancelacion</v>
      </c>
      <c r="I799" s="20" t="str">
        <f>IF(LEN(G799)=0,"",VLOOKUP(G799,Issues!A:D,3,FALSE))</f>
        <v>No funciona la baja desde tienda.</v>
      </c>
      <c r="J799" s="19" t="str">
        <f>IF(LEN(G799)=0,"",VLOOKUP(G799,Issues!A:D,4,FALSE))</f>
        <v>Critico</v>
      </c>
      <c r="K799" s="21" t="str">
        <f t="shared" si="38"/>
        <v>Issue</v>
      </c>
    </row>
    <row r="800" spans="1:11" x14ac:dyDescent="0.35">
      <c r="A800" s="23">
        <v>46133</v>
      </c>
      <c r="B800" s="19" t="str">
        <f t="shared" si="37"/>
        <v>abril</v>
      </c>
      <c r="C800" s="19" t="str">
        <f t="shared" si="39"/>
        <v>2026</v>
      </c>
      <c r="D800" s="25" t="s">
        <v>207</v>
      </c>
      <c r="E800" s="25" t="s">
        <v>15</v>
      </c>
      <c r="F800" s="25" t="s">
        <v>174</v>
      </c>
      <c r="G800" s="24">
        <v>403</v>
      </c>
      <c r="H800" s="19" t="str">
        <f>IF(LEN(G800)=0,"",VLOOKUP(G800,Issues!A:D,2,FALSE))</f>
        <v>(400) Portales / Web-App</v>
      </c>
      <c r="I800" s="20" t="str">
        <f>IF(LEN(G800)=0,"",VLOOKUP(G800,Issues!A:D,3,FALSE))</f>
        <v>Portal desactualizado.</v>
      </c>
      <c r="J800" s="19" t="str">
        <f>IF(LEN(G800)=0,"",VLOOKUP(G800,Issues!A:D,4,FALSE))</f>
        <v>Medio</v>
      </c>
      <c r="K800" s="21" t="str">
        <f t="shared" si="38"/>
        <v>Issue</v>
      </c>
    </row>
    <row r="801" spans="1:11" x14ac:dyDescent="0.35">
      <c r="A801" s="23">
        <v>46143</v>
      </c>
      <c r="B801" s="19" t="str">
        <f t="shared" si="37"/>
        <v>mayo</v>
      </c>
      <c r="C801" s="19" t="str">
        <f t="shared" si="39"/>
        <v>2026</v>
      </c>
      <c r="D801" s="25" t="s">
        <v>207</v>
      </c>
      <c r="E801" s="25" t="s">
        <v>14</v>
      </c>
      <c r="F801" s="25" t="s">
        <v>170</v>
      </c>
      <c r="G801" s="24">
        <v>303</v>
      </c>
      <c r="H801" s="19" t="str">
        <f>IF(LEN(G801)=0,"",VLOOKUP(G801,Issues!A:D,2,FALSE))</f>
        <v>(300) Cobros</v>
      </c>
      <c r="I801" s="20" t="str">
        <f>IF(LEN(G801)=0,"",VLOOKUP(G801,Issues!A:D,3,FALSE))</f>
        <v>Llego contenido (no hubo cobro).</v>
      </c>
      <c r="J801" s="19" t="str">
        <f>IF(LEN(G801)=0,"",VLOOKUP(G801,Issues!A:D,4,FALSE))</f>
        <v>Critico</v>
      </c>
      <c r="K801" s="21" t="str">
        <f t="shared" si="38"/>
        <v>Issue</v>
      </c>
    </row>
    <row r="802" spans="1:11" x14ac:dyDescent="0.35">
      <c r="A802" s="23">
        <v>46155</v>
      </c>
      <c r="B802" s="19" t="str">
        <f t="shared" si="37"/>
        <v>mayo</v>
      </c>
      <c r="C802" s="19" t="str">
        <f t="shared" si="39"/>
        <v>2026</v>
      </c>
      <c r="D802" s="25" t="s">
        <v>207</v>
      </c>
      <c r="E802" s="25" t="s">
        <v>27</v>
      </c>
      <c r="F802" s="25" t="s">
        <v>202</v>
      </c>
      <c r="G802" s="24">
        <v>300</v>
      </c>
      <c r="H802" s="19" t="str">
        <f>IF(LEN(G802)=0,"",VLOOKUP(G802,Issues!A:D,2,FALSE))</f>
        <v>(300) Cobros</v>
      </c>
      <c r="I802" s="20" t="str">
        <f>IF(LEN(G802)=0,"",VLOOKUP(G802,Issues!A:D,3,FALSE))</f>
        <v>Cobro en valor y forma correcto.</v>
      </c>
      <c r="J802" s="19" t="str">
        <f>IF(LEN(G802)=0,"",VLOOKUP(G802,Issues!A:D,4,FALSE))</f>
        <v>Prueba OK</v>
      </c>
      <c r="K802" s="21" t="str">
        <f t="shared" si="38"/>
        <v>OK</v>
      </c>
    </row>
    <row r="803" spans="1:11" x14ac:dyDescent="0.35">
      <c r="A803" s="23">
        <v>46127</v>
      </c>
      <c r="B803" s="19" t="str">
        <f t="shared" si="37"/>
        <v>abril</v>
      </c>
      <c r="C803" s="19" t="str">
        <f t="shared" si="39"/>
        <v>2026</v>
      </c>
      <c r="D803" s="25" t="s">
        <v>206</v>
      </c>
      <c r="E803" s="25" t="s">
        <v>26</v>
      </c>
      <c r="F803" s="25" t="s">
        <v>156</v>
      </c>
      <c r="G803" s="24">
        <v>800</v>
      </c>
      <c r="H803" s="19" t="str">
        <f>IF(LEN(G803)=0,"",VLOOKUP(G803,Issues!A:D,2,FALSE))</f>
        <v>(800) Politicas especiales operadores</v>
      </c>
      <c r="I803" s="20" t="str">
        <f>IF(LEN(G803)=0,"",VLOOKUP(G803,Issues!A:D,3,FALSE))</f>
        <v>Politicas de los operadores cumplidas.</v>
      </c>
      <c r="J803" s="19" t="str">
        <f>IF(LEN(G803)=0,"",VLOOKUP(G803,Issues!A:D,4,FALSE))</f>
        <v>Prueba OK</v>
      </c>
      <c r="K803" s="21" t="str">
        <f t="shared" si="38"/>
        <v>OK</v>
      </c>
    </row>
    <row r="804" spans="1:11" x14ac:dyDescent="0.35">
      <c r="A804" s="23">
        <v>46052</v>
      </c>
      <c r="B804" s="19" t="str">
        <f t="shared" si="37"/>
        <v>enero</v>
      </c>
      <c r="C804" s="19" t="str">
        <f t="shared" si="39"/>
        <v>2026</v>
      </c>
      <c r="D804" s="25" t="s">
        <v>207</v>
      </c>
      <c r="E804" s="25" t="s">
        <v>20</v>
      </c>
      <c r="F804" s="25" t="s">
        <v>188</v>
      </c>
      <c r="G804" s="24">
        <v>301</v>
      </c>
      <c r="H804" s="19" t="str">
        <f>IF(LEN(G804)=0,"",VLOOKUP(G804,Issues!A:D,2,FALSE))</f>
        <v>(300) Cobros</v>
      </c>
      <c r="I804" s="20" t="str">
        <f>IF(LEN(G804)=0,"",VLOOKUP(G804,Issues!A:D,3,FALSE))</f>
        <v>No llego contenido (si hubo cobro).</v>
      </c>
      <c r="J804" s="19" t="str">
        <f>IF(LEN(G804)=0,"",VLOOKUP(G804,Issues!A:D,4,FALSE))</f>
        <v>Critico</v>
      </c>
      <c r="K804" s="21" t="str">
        <f t="shared" si="38"/>
        <v>Issue</v>
      </c>
    </row>
    <row r="805" spans="1:11" x14ac:dyDescent="0.35">
      <c r="A805" s="23">
        <v>46034</v>
      </c>
      <c r="B805" s="19" t="str">
        <f t="shared" si="37"/>
        <v>enero</v>
      </c>
      <c r="C805" s="19" t="str">
        <f t="shared" si="39"/>
        <v>2026</v>
      </c>
      <c r="D805" s="25" t="s">
        <v>206</v>
      </c>
      <c r="E805" s="25" t="s">
        <v>18</v>
      </c>
      <c r="F805" s="25" t="s">
        <v>182</v>
      </c>
      <c r="G805" s="24">
        <v>700</v>
      </c>
      <c r="H805" s="19" t="str">
        <f>IF(LEN(G805)=0,"",VLOOKUP(G805,Issues!A:D,2,FALSE))</f>
        <v>(700) Interaccion MO/MT (On Demand)</v>
      </c>
      <c r="I805" s="20" t="str">
        <f>IF(LEN(G805)=0,"",VLOOKUP(G805,Issues!A:D,3,FALSE))</f>
        <v>Flujo MO/MT con éxito.</v>
      </c>
      <c r="J805" s="19" t="str">
        <f>IF(LEN(G805)=0,"",VLOOKUP(G805,Issues!A:D,4,FALSE))</f>
        <v>Prueba OK</v>
      </c>
      <c r="K805" s="21" t="str">
        <f t="shared" si="38"/>
        <v>OK</v>
      </c>
    </row>
    <row r="806" spans="1:11" x14ac:dyDescent="0.35">
      <c r="A806" s="23">
        <v>46156</v>
      </c>
      <c r="B806" s="19" t="str">
        <f t="shared" si="37"/>
        <v>mayo</v>
      </c>
      <c r="C806" s="19" t="str">
        <f t="shared" si="39"/>
        <v>2026</v>
      </c>
      <c r="D806" s="25" t="s">
        <v>207</v>
      </c>
      <c r="E806" s="25" t="s">
        <v>20</v>
      </c>
      <c r="F806" s="25" t="s">
        <v>188</v>
      </c>
      <c r="G806" s="24">
        <v>100</v>
      </c>
      <c r="H806" s="19" t="str">
        <f>IF(LEN(G806)=0,"",VLOOKUP(G806,Issues!A:D,2,FALSE))</f>
        <v>(100)  Alta</v>
      </c>
      <c r="I806" s="20" t="str">
        <f>IF(LEN(G806)=0,"",VLOOKUP(G806,Issues!A:D,3,FALSE))</f>
        <v>Alta con éxito.</v>
      </c>
      <c r="J806" s="19" t="str">
        <f>IF(LEN(G806)=0,"",VLOOKUP(G806,Issues!A:D,4,FALSE))</f>
        <v>Prueba OK</v>
      </c>
      <c r="K806" s="21" t="str">
        <f t="shared" si="38"/>
        <v>OK</v>
      </c>
    </row>
    <row r="807" spans="1:11" x14ac:dyDescent="0.35">
      <c r="A807" s="23">
        <v>46130</v>
      </c>
      <c r="B807" s="19" t="str">
        <f t="shared" si="37"/>
        <v>abril</v>
      </c>
      <c r="C807" s="19" t="str">
        <f t="shared" si="39"/>
        <v>2026</v>
      </c>
      <c r="D807" s="25" t="s">
        <v>204</v>
      </c>
      <c r="E807" s="25" t="s">
        <v>13</v>
      </c>
      <c r="F807" s="25" t="s">
        <v>149</v>
      </c>
      <c r="G807" s="24">
        <v>700</v>
      </c>
      <c r="H807" s="19" t="str">
        <f>IF(LEN(G807)=0,"",VLOOKUP(G807,Issues!A:D,2,FALSE))</f>
        <v>(700) Interaccion MO/MT (On Demand)</v>
      </c>
      <c r="I807" s="20" t="str">
        <f>IF(LEN(G807)=0,"",VLOOKUP(G807,Issues!A:D,3,FALSE))</f>
        <v>Flujo MO/MT con éxito.</v>
      </c>
      <c r="J807" s="19" t="str">
        <f>IF(LEN(G807)=0,"",VLOOKUP(G807,Issues!A:D,4,FALSE))</f>
        <v>Prueba OK</v>
      </c>
      <c r="K807" s="21" t="str">
        <f t="shared" si="38"/>
        <v>OK</v>
      </c>
    </row>
    <row r="808" spans="1:11" x14ac:dyDescent="0.35">
      <c r="A808" s="23">
        <v>46034</v>
      </c>
      <c r="B808" s="19" t="str">
        <f t="shared" si="37"/>
        <v>enero</v>
      </c>
      <c r="C808" s="19" t="str">
        <f t="shared" si="39"/>
        <v>2026</v>
      </c>
      <c r="D808" s="25" t="s">
        <v>206</v>
      </c>
      <c r="E808" s="25" t="s">
        <v>13</v>
      </c>
      <c r="F808" s="25" t="s">
        <v>149</v>
      </c>
      <c r="G808" s="24">
        <v>800</v>
      </c>
      <c r="H808" s="19" t="str">
        <f>IF(LEN(G808)=0,"",VLOOKUP(G808,Issues!A:D,2,FALSE))</f>
        <v>(800) Politicas especiales operadores</v>
      </c>
      <c r="I808" s="20" t="str">
        <f>IF(LEN(G808)=0,"",VLOOKUP(G808,Issues!A:D,3,FALSE))</f>
        <v>Politicas de los operadores cumplidas.</v>
      </c>
      <c r="J808" s="19" t="str">
        <f>IF(LEN(G808)=0,"",VLOOKUP(G808,Issues!A:D,4,FALSE))</f>
        <v>Prueba OK</v>
      </c>
      <c r="K808" s="21" t="str">
        <f t="shared" si="38"/>
        <v>OK</v>
      </c>
    </row>
    <row r="809" spans="1:11" x14ac:dyDescent="0.35">
      <c r="A809" s="23">
        <v>46132</v>
      </c>
      <c r="B809" s="19" t="str">
        <f t="shared" si="37"/>
        <v>abril</v>
      </c>
      <c r="C809" s="19" t="str">
        <f t="shared" si="39"/>
        <v>2026</v>
      </c>
      <c r="D809" s="25" t="s">
        <v>207</v>
      </c>
      <c r="E809" s="25" t="s">
        <v>14</v>
      </c>
      <c r="F809" s="25" t="s">
        <v>172</v>
      </c>
      <c r="G809" s="24">
        <v>800</v>
      </c>
      <c r="H809" s="19" t="str">
        <f>IF(LEN(G809)=0,"",VLOOKUP(G809,Issues!A:D,2,FALSE))</f>
        <v>(800) Politicas especiales operadores</v>
      </c>
      <c r="I809" s="20" t="str">
        <f>IF(LEN(G809)=0,"",VLOOKUP(G809,Issues!A:D,3,FALSE))</f>
        <v>Politicas de los operadores cumplidas.</v>
      </c>
      <c r="J809" s="19" t="str">
        <f>IF(LEN(G809)=0,"",VLOOKUP(G809,Issues!A:D,4,FALSE))</f>
        <v>Prueba OK</v>
      </c>
      <c r="K809" s="21" t="str">
        <f t="shared" si="38"/>
        <v>OK</v>
      </c>
    </row>
    <row r="810" spans="1:11" x14ac:dyDescent="0.35">
      <c r="A810" s="23">
        <v>46150</v>
      </c>
      <c r="B810" s="19" t="str">
        <f t="shared" si="37"/>
        <v>mayo</v>
      </c>
      <c r="C810" s="19" t="str">
        <f t="shared" si="39"/>
        <v>2026</v>
      </c>
      <c r="D810" s="25" t="s">
        <v>207</v>
      </c>
      <c r="E810" s="25" t="s">
        <v>16</v>
      </c>
      <c r="F810" s="25" t="s">
        <v>177</v>
      </c>
      <c r="G810" s="24">
        <v>200</v>
      </c>
      <c r="H810" s="19" t="str">
        <f>IF(LEN(G810)=0,"",VLOOKUP(G810,Issues!A:D,2,FALSE))</f>
        <v>(200) Contenidos</v>
      </c>
      <c r="I810" s="20" t="str">
        <f>IF(LEN(G810)=0,"",VLOOKUP(G810,Issues!A:D,3,FALSE))</f>
        <v>Contenidos recibido con éxito.</v>
      </c>
      <c r="J810" s="19" t="str">
        <f>IF(LEN(G810)=0,"",VLOOKUP(G810,Issues!A:D,4,FALSE))</f>
        <v>Prueba OK</v>
      </c>
      <c r="K810" s="21" t="str">
        <f t="shared" si="38"/>
        <v>OK</v>
      </c>
    </row>
    <row r="811" spans="1:11" x14ac:dyDescent="0.35">
      <c r="A811" s="23">
        <v>46039</v>
      </c>
      <c r="B811" s="19" t="str">
        <f t="shared" si="37"/>
        <v>enero</v>
      </c>
      <c r="C811" s="19" t="str">
        <f t="shared" si="39"/>
        <v>2026</v>
      </c>
      <c r="D811" s="25" t="s">
        <v>206</v>
      </c>
      <c r="E811" s="25" t="s">
        <v>27</v>
      </c>
      <c r="F811" s="25" t="s">
        <v>202</v>
      </c>
      <c r="G811" s="24">
        <v>500</v>
      </c>
      <c r="H811" s="19" t="str">
        <f>IF(LEN(G811)=0,"",VLOOKUP(G811,Issues!A:D,2,FALSE))</f>
        <v>(500) Baja / Cancelacion</v>
      </c>
      <c r="I811" s="20" t="str">
        <f>IF(LEN(G811)=0,"",VLOOKUP(G811,Issues!A:D,3,FALSE))</f>
        <v>Baja con éxito.</v>
      </c>
      <c r="J811" s="19" t="str">
        <f>IF(LEN(G811)=0,"",VLOOKUP(G811,Issues!A:D,4,FALSE))</f>
        <v>Prueba OK</v>
      </c>
      <c r="K811" s="21" t="str">
        <f t="shared" si="38"/>
        <v>OK</v>
      </c>
    </row>
    <row r="812" spans="1:11" x14ac:dyDescent="0.35">
      <c r="A812" s="23">
        <v>46142</v>
      </c>
      <c r="B812" s="19" t="str">
        <f t="shared" si="37"/>
        <v>abril</v>
      </c>
      <c r="C812" s="19" t="str">
        <f t="shared" si="39"/>
        <v>2026</v>
      </c>
      <c r="D812" s="25" t="s">
        <v>206</v>
      </c>
      <c r="E812" s="25" t="s">
        <v>24</v>
      </c>
      <c r="F812" s="25" t="s">
        <v>155</v>
      </c>
      <c r="G812" s="24">
        <v>700</v>
      </c>
      <c r="H812" s="19" t="str">
        <f>IF(LEN(G812)=0,"",VLOOKUP(G812,Issues!A:D,2,FALSE))</f>
        <v>(700) Interaccion MO/MT (On Demand)</v>
      </c>
      <c r="I812" s="20" t="str">
        <f>IF(LEN(G812)=0,"",VLOOKUP(G812,Issues!A:D,3,FALSE))</f>
        <v>Flujo MO/MT con éxito.</v>
      </c>
      <c r="J812" s="19" t="str">
        <f>IF(LEN(G812)=0,"",VLOOKUP(G812,Issues!A:D,4,FALSE))</f>
        <v>Prueba OK</v>
      </c>
      <c r="K812" s="21" t="str">
        <f t="shared" si="38"/>
        <v>OK</v>
      </c>
    </row>
    <row r="813" spans="1:11" x14ac:dyDescent="0.35">
      <c r="A813" s="23">
        <v>46146</v>
      </c>
      <c r="B813" s="19" t="str">
        <f t="shared" si="37"/>
        <v>mayo</v>
      </c>
      <c r="C813" s="19" t="str">
        <f t="shared" si="39"/>
        <v>2026</v>
      </c>
      <c r="D813" s="25" t="s">
        <v>207</v>
      </c>
      <c r="E813" s="25" t="s">
        <v>22</v>
      </c>
      <c r="F813" s="25" t="s">
        <v>158</v>
      </c>
      <c r="G813" s="24">
        <v>500</v>
      </c>
      <c r="H813" s="19" t="str">
        <f>IF(LEN(G813)=0,"",VLOOKUP(G813,Issues!A:D,2,FALSE))</f>
        <v>(500) Baja / Cancelacion</v>
      </c>
      <c r="I813" s="20" t="str">
        <f>IF(LEN(G813)=0,"",VLOOKUP(G813,Issues!A:D,3,FALSE))</f>
        <v>Baja con éxito.</v>
      </c>
      <c r="J813" s="19" t="str">
        <f>IF(LEN(G813)=0,"",VLOOKUP(G813,Issues!A:D,4,FALSE))</f>
        <v>Prueba OK</v>
      </c>
      <c r="K813" s="21" t="str">
        <f t="shared" si="38"/>
        <v>OK</v>
      </c>
    </row>
    <row r="814" spans="1:11" x14ac:dyDescent="0.35">
      <c r="A814" s="23">
        <v>46071</v>
      </c>
      <c r="B814" s="19" t="str">
        <f t="shared" si="37"/>
        <v>febrero</v>
      </c>
      <c r="C814" s="19" t="str">
        <f t="shared" si="39"/>
        <v>2026</v>
      </c>
      <c r="D814" s="25" t="s">
        <v>208</v>
      </c>
      <c r="E814" s="25" t="s">
        <v>26</v>
      </c>
      <c r="F814" s="25" t="s">
        <v>152</v>
      </c>
      <c r="G814" s="24">
        <v>100</v>
      </c>
      <c r="H814" s="19" t="str">
        <f>IF(LEN(G814)=0,"",VLOOKUP(G814,Issues!A:D,2,FALSE))</f>
        <v>(100)  Alta</v>
      </c>
      <c r="I814" s="20" t="str">
        <f>IF(LEN(G814)=0,"",VLOOKUP(G814,Issues!A:D,3,FALSE))</f>
        <v>Alta con éxito.</v>
      </c>
      <c r="J814" s="19" t="str">
        <f>IF(LEN(G814)=0,"",VLOOKUP(G814,Issues!A:D,4,FALSE))</f>
        <v>Prueba OK</v>
      </c>
      <c r="K814" s="21" t="str">
        <f t="shared" si="38"/>
        <v>OK</v>
      </c>
    </row>
    <row r="815" spans="1:11" x14ac:dyDescent="0.35">
      <c r="A815" s="23">
        <v>46121</v>
      </c>
      <c r="B815" s="19" t="str">
        <f t="shared" si="37"/>
        <v>abril</v>
      </c>
      <c r="C815" s="19" t="str">
        <f t="shared" si="39"/>
        <v>2026</v>
      </c>
      <c r="D815" s="25" t="s">
        <v>208</v>
      </c>
      <c r="E815" s="25" t="s">
        <v>23</v>
      </c>
      <c r="F815" s="25" t="s">
        <v>195</v>
      </c>
      <c r="G815" s="24">
        <v>500</v>
      </c>
      <c r="H815" s="19" t="str">
        <f>IF(LEN(G815)=0,"",VLOOKUP(G815,Issues!A:D,2,FALSE))</f>
        <v>(500) Baja / Cancelacion</v>
      </c>
      <c r="I815" s="20" t="str">
        <f>IF(LEN(G815)=0,"",VLOOKUP(G815,Issues!A:D,3,FALSE))</f>
        <v>Baja con éxito.</v>
      </c>
      <c r="J815" s="19" t="str">
        <f>IF(LEN(G815)=0,"",VLOOKUP(G815,Issues!A:D,4,FALSE))</f>
        <v>Prueba OK</v>
      </c>
      <c r="K815" s="21" t="str">
        <f t="shared" si="38"/>
        <v>OK</v>
      </c>
    </row>
    <row r="816" spans="1:11" x14ac:dyDescent="0.35">
      <c r="A816" s="23">
        <v>46142</v>
      </c>
      <c r="B816" s="19" t="str">
        <f t="shared" si="37"/>
        <v>abril</v>
      </c>
      <c r="C816" s="19" t="str">
        <f t="shared" si="39"/>
        <v>2026</v>
      </c>
      <c r="D816" s="25" t="s">
        <v>208</v>
      </c>
      <c r="E816" s="25" t="s">
        <v>14</v>
      </c>
      <c r="F816" s="25" t="s">
        <v>170</v>
      </c>
      <c r="G816" s="24">
        <v>100</v>
      </c>
      <c r="H816" s="19" t="str">
        <f>IF(LEN(G816)=0,"",VLOOKUP(G816,Issues!A:D,2,FALSE))</f>
        <v>(100)  Alta</v>
      </c>
      <c r="I816" s="20" t="str">
        <f>IF(LEN(G816)=0,"",VLOOKUP(G816,Issues!A:D,3,FALSE))</f>
        <v>Alta con éxito.</v>
      </c>
      <c r="J816" s="19" t="str">
        <f>IF(LEN(G816)=0,"",VLOOKUP(G816,Issues!A:D,4,FALSE))</f>
        <v>Prueba OK</v>
      </c>
      <c r="K816" s="21" t="str">
        <f t="shared" si="38"/>
        <v>OK</v>
      </c>
    </row>
    <row r="817" spans="1:11" x14ac:dyDescent="0.35">
      <c r="A817" s="23">
        <v>46034</v>
      </c>
      <c r="B817" s="19" t="str">
        <f t="shared" si="37"/>
        <v>enero</v>
      </c>
      <c r="C817" s="19" t="str">
        <f t="shared" si="39"/>
        <v>2026</v>
      </c>
      <c r="D817" s="25" t="s">
        <v>206</v>
      </c>
      <c r="E817" s="25" t="s">
        <v>21</v>
      </c>
      <c r="F817" s="25" t="s">
        <v>193</v>
      </c>
      <c r="G817" s="24">
        <v>301</v>
      </c>
      <c r="H817" s="19" t="str">
        <f>IF(LEN(G817)=0,"",VLOOKUP(G817,Issues!A:D,2,FALSE))</f>
        <v>(300) Cobros</v>
      </c>
      <c r="I817" s="20" t="str">
        <f>IF(LEN(G817)=0,"",VLOOKUP(G817,Issues!A:D,3,FALSE))</f>
        <v>No llego contenido (si hubo cobro).</v>
      </c>
      <c r="J817" s="19" t="str">
        <f>IF(LEN(G817)=0,"",VLOOKUP(G817,Issues!A:D,4,FALSE))</f>
        <v>Critico</v>
      </c>
      <c r="K817" s="21" t="str">
        <f t="shared" si="38"/>
        <v>Issue</v>
      </c>
    </row>
    <row r="818" spans="1:11" x14ac:dyDescent="0.35">
      <c r="A818" s="23">
        <v>46060</v>
      </c>
      <c r="B818" s="19" t="str">
        <f t="shared" si="37"/>
        <v>febrero</v>
      </c>
      <c r="C818" s="19" t="str">
        <f t="shared" si="39"/>
        <v>2026</v>
      </c>
      <c r="D818" s="25" t="s">
        <v>204</v>
      </c>
      <c r="E818" s="25" t="s">
        <v>12</v>
      </c>
      <c r="F818" s="25" t="s">
        <v>167</v>
      </c>
      <c r="G818" s="24">
        <v>500</v>
      </c>
      <c r="H818" s="19" t="str">
        <f>IF(LEN(G818)=0,"",VLOOKUP(G818,Issues!A:D,2,FALSE))</f>
        <v>(500) Baja / Cancelacion</v>
      </c>
      <c r="I818" s="20" t="str">
        <f>IF(LEN(G818)=0,"",VLOOKUP(G818,Issues!A:D,3,FALSE))</f>
        <v>Baja con éxito.</v>
      </c>
      <c r="J818" s="19" t="str">
        <f>IF(LEN(G818)=0,"",VLOOKUP(G818,Issues!A:D,4,FALSE))</f>
        <v>Prueba OK</v>
      </c>
      <c r="K818" s="21" t="str">
        <f t="shared" si="38"/>
        <v>OK</v>
      </c>
    </row>
    <row r="819" spans="1:11" x14ac:dyDescent="0.35">
      <c r="A819" s="23">
        <v>46080</v>
      </c>
      <c r="B819" s="19" t="str">
        <f t="shared" si="37"/>
        <v>febrero</v>
      </c>
      <c r="C819" s="19" t="str">
        <f t="shared" si="39"/>
        <v>2026</v>
      </c>
      <c r="D819" s="25" t="s">
        <v>206</v>
      </c>
      <c r="E819" s="25" t="s">
        <v>21</v>
      </c>
      <c r="F819" s="25" t="s">
        <v>192</v>
      </c>
      <c r="G819" s="24">
        <v>200</v>
      </c>
      <c r="H819" s="19" t="str">
        <f>IF(LEN(G819)=0,"",VLOOKUP(G819,Issues!A:D,2,FALSE))</f>
        <v>(200) Contenidos</v>
      </c>
      <c r="I819" s="20" t="str">
        <f>IF(LEN(G819)=0,"",VLOOKUP(G819,Issues!A:D,3,FALSE))</f>
        <v>Contenidos recibido con éxito.</v>
      </c>
      <c r="J819" s="19" t="str">
        <f>IF(LEN(G819)=0,"",VLOOKUP(G819,Issues!A:D,4,FALSE))</f>
        <v>Prueba OK</v>
      </c>
      <c r="K819" s="21" t="str">
        <f t="shared" si="38"/>
        <v>OK</v>
      </c>
    </row>
    <row r="820" spans="1:11" x14ac:dyDescent="0.35">
      <c r="A820" s="23">
        <v>46144</v>
      </c>
      <c r="B820" s="19" t="str">
        <f t="shared" si="37"/>
        <v>mayo</v>
      </c>
      <c r="C820" s="19" t="str">
        <f t="shared" si="39"/>
        <v>2026</v>
      </c>
      <c r="D820" s="25" t="s">
        <v>207</v>
      </c>
      <c r="E820" s="25" t="s">
        <v>10</v>
      </c>
      <c r="F820" s="25" t="s">
        <v>162</v>
      </c>
      <c r="G820" s="24">
        <v>108</v>
      </c>
      <c r="H820" s="19" t="str">
        <f>IF(LEN(G820)=0,"",VLOOKUP(G820,Issues!A:D,2,FALSE))</f>
        <v>(100)  Alta</v>
      </c>
      <c r="I820" s="20" t="str">
        <f>IF(LEN(G820)=0,"",VLOOKUP(G820,Issues!A:D,3,FALSE))</f>
        <v>Inconsistencias en t&amp;c en la lp.</v>
      </c>
      <c r="J820" s="19" t="str">
        <f>IF(LEN(G820)=0,"",VLOOKUP(G820,Issues!A:D,4,FALSE))</f>
        <v>Critico</v>
      </c>
      <c r="K820" s="21" t="str">
        <f t="shared" si="38"/>
        <v>Issue</v>
      </c>
    </row>
    <row r="821" spans="1:11" x14ac:dyDescent="0.35">
      <c r="A821" s="23">
        <v>46110</v>
      </c>
      <c r="B821" s="19" t="str">
        <f t="shared" si="37"/>
        <v>marzo</v>
      </c>
      <c r="C821" s="19" t="str">
        <f t="shared" si="39"/>
        <v>2026</v>
      </c>
      <c r="D821" s="25" t="s">
        <v>208</v>
      </c>
      <c r="E821" s="25" t="s">
        <v>12</v>
      </c>
      <c r="F821" s="25" t="s">
        <v>168</v>
      </c>
      <c r="G821" s="24">
        <v>107</v>
      </c>
      <c r="H821" s="19" t="str">
        <f>IF(LEN(G821)=0,"",VLOOKUP(G821,Issues!A:D,2,FALSE))</f>
        <v>(100)  Alta</v>
      </c>
      <c r="I821" s="20" t="str">
        <f>IF(LEN(G821)=0,"",VLOOKUP(G821,Issues!A:D,3,FALSE))</f>
        <v>Falla en lp de suscripción wap - header enrichment.</v>
      </c>
      <c r="J821" s="19" t="str">
        <f>IF(LEN(G821)=0,"",VLOOKUP(G821,Issues!A:D,4,FALSE))</f>
        <v>Critico</v>
      </c>
      <c r="K821" s="21" t="str">
        <f t="shared" si="38"/>
        <v>Issue</v>
      </c>
    </row>
    <row r="822" spans="1:11" x14ac:dyDescent="0.35">
      <c r="A822" s="23">
        <v>46091</v>
      </c>
      <c r="B822" s="19" t="str">
        <f t="shared" si="37"/>
        <v>marzo</v>
      </c>
      <c r="C822" s="19" t="str">
        <f t="shared" si="39"/>
        <v>2026</v>
      </c>
      <c r="D822" s="25" t="s">
        <v>207</v>
      </c>
      <c r="E822" s="25" t="s">
        <v>18</v>
      </c>
      <c r="F822" s="25" t="s">
        <v>182</v>
      </c>
      <c r="G822" s="24">
        <v>700</v>
      </c>
      <c r="H822" s="19" t="str">
        <f>IF(LEN(G822)=0,"",VLOOKUP(G822,Issues!A:D,2,FALSE))</f>
        <v>(700) Interaccion MO/MT (On Demand)</v>
      </c>
      <c r="I822" s="20" t="str">
        <f>IF(LEN(G822)=0,"",VLOOKUP(G822,Issues!A:D,3,FALSE))</f>
        <v>Flujo MO/MT con éxito.</v>
      </c>
      <c r="J822" s="19" t="str">
        <f>IF(LEN(G822)=0,"",VLOOKUP(G822,Issues!A:D,4,FALSE))</f>
        <v>Prueba OK</v>
      </c>
      <c r="K822" s="21" t="str">
        <f t="shared" si="38"/>
        <v>OK</v>
      </c>
    </row>
    <row r="823" spans="1:11" x14ac:dyDescent="0.35">
      <c r="A823" s="23">
        <v>46075</v>
      </c>
      <c r="B823" s="19" t="str">
        <f t="shared" si="37"/>
        <v>febrero</v>
      </c>
      <c r="C823" s="19" t="str">
        <f t="shared" si="39"/>
        <v>2026</v>
      </c>
      <c r="D823" s="25" t="s">
        <v>206</v>
      </c>
      <c r="E823" s="25" t="s">
        <v>24</v>
      </c>
      <c r="F823" s="25" t="s">
        <v>159</v>
      </c>
      <c r="G823" s="24">
        <v>207</v>
      </c>
      <c r="H823" s="19" t="str">
        <f>IF(LEN(G823)=0,"",VLOOKUP(G823,Issues!A:D,2,FALSE))</f>
        <v>(200) Contenidos</v>
      </c>
      <c r="I823" s="20" t="str">
        <f>IF(LEN(G823)=0,"",VLOOKUP(G823,Issues!A:D,3,FALSE))</f>
        <v>Contenido repetido.</v>
      </c>
      <c r="J823" s="19" t="str">
        <f>IF(LEN(G823)=0,"",VLOOKUP(G823,Issues!A:D,4,FALSE))</f>
        <v>Medio</v>
      </c>
      <c r="K823" s="21" t="str">
        <f t="shared" si="38"/>
        <v>Issue</v>
      </c>
    </row>
    <row r="824" spans="1:11" x14ac:dyDescent="0.35">
      <c r="A824" s="23">
        <v>46068</v>
      </c>
      <c r="B824" s="19" t="str">
        <f t="shared" si="37"/>
        <v>febrero</v>
      </c>
      <c r="C824" s="19" t="str">
        <f t="shared" si="39"/>
        <v>2026</v>
      </c>
      <c r="D824" s="25" t="s">
        <v>208</v>
      </c>
      <c r="E824" s="25" t="s">
        <v>15</v>
      </c>
      <c r="F824" s="25" t="s">
        <v>173</v>
      </c>
      <c r="G824" s="24">
        <v>500</v>
      </c>
      <c r="H824" s="19" t="str">
        <f>IF(LEN(G824)=0,"",VLOOKUP(G824,Issues!A:D,2,FALSE))</f>
        <v>(500) Baja / Cancelacion</v>
      </c>
      <c r="I824" s="20" t="str">
        <f>IF(LEN(G824)=0,"",VLOOKUP(G824,Issues!A:D,3,FALSE))</f>
        <v>Baja con éxito.</v>
      </c>
      <c r="J824" s="19" t="str">
        <f>IF(LEN(G824)=0,"",VLOOKUP(G824,Issues!A:D,4,FALSE))</f>
        <v>Prueba OK</v>
      </c>
      <c r="K824" s="21" t="str">
        <f t="shared" si="38"/>
        <v>OK</v>
      </c>
    </row>
    <row r="825" spans="1:11" x14ac:dyDescent="0.35">
      <c r="A825" s="23">
        <v>46039</v>
      </c>
      <c r="B825" s="19" t="str">
        <f t="shared" si="37"/>
        <v>enero</v>
      </c>
      <c r="C825" s="19" t="str">
        <f t="shared" si="39"/>
        <v>2026</v>
      </c>
      <c r="D825" s="25" t="s">
        <v>206</v>
      </c>
      <c r="E825" s="25" t="s">
        <v>21</v>
      </c>
      <c r="F825" s="25" t="s">
        <v>193</v>
      </c>
      <c r="G825" s="24">
        <v>506</v>
      </c>
      <c r="H825" s="19" t="str">
        <f>IF(LEN(G825)=0,"",VLOOKUP(G825,Issues!A:D,2,FALSE))</f>
        <v>(500) Baja / Cancelacion</v>
      </c>
      <c r="I825" s="20" t="str">
        <f>IF(LEN(G825)=0,"",VLOOKUP(G825,Issues!A:D,3,FALSE))</f>
        <v>No funciona la baja desde ivr.</v>
      </c>
      <c r="J825" s="19" t="str">
        <f>IF(LEN(G825)=0,"",VLOOKUP(G825,Issues!A:D,4,FALSE))</f>
        <v>Critico</v>
      </c>
      <c r="K825" s="21" t="str">
        <f t="shared" si="38"/>
        <v>Issue</v>
      </c>
    </row>
    <row r="826" spans="1:11" x14ac:dyDescent="0.35">
      <c r="A826" s="23">
        <v>46121</v>
      </c>
      <c r="B826" s="19" t="str">
        <f t="shared" si="37"/>
        <v>abril</v>
      </c>
      <c r="C826" s="19" t="str">
        <f t="shared" si="39"/>
        <v>2026</v>
      </c>
      <c r="D826" s="25" t="s">
        <v>206</v>
      </c>
      <c r="E826" s="25" t="s">
        <v>10</v>
      </c>
      <c r="F826" s="25" t="s">
        <v>163</v>
      </c>
      <c r="G826" s="24">
        <v>403</v>
      </c>
      <c r="H826" s="19" t="str">
        <f>IF(LEN(G826)=0,"",VLOOKUP(G826,Issues!A:D,2,FALSE))</f>
        <v>(400) Portales / Web-App</v>
      </c>
      <c r="I826" s="20" t="str">
        <f>IF(LEN(G826)=0,"",VLOOKUP(G826,Issues!A:D,3,FALSE))</f>
        <v>Portal desactualizado.</v>
      </c>
      <c r="J826" s="19" t="str">
        <f>IF(LEN(G826)=0,"",VLOOKUP(G826,Issues!A:D,4,FALSE))</f>
        <v>Medio</v>
      </c>
      <c r="K826" s="21" t="str">
        <f t="shared" si="38"/>
        <v>Issue</v>
      </c>
    </row>
    <row r="827" spans="1:11" x14ac:dyDescent="0.35">
      <c r="A827" s="23">
        <v>46037</v>
      </c>
      <c r="B827" s="19" t="str">
        <f t="shared" si="37"/>
        <v>enero</v>
      </c>
      <c r="C827" s="19" t="str">
        <f t="shared" si="39"/>
        <v>2026</v>
      </c>
      <c r="D827" s="25" t="s">
        <v>207</v>
      </c>
      <c r="E827" s="25" t="s">
        <v>12</v>
      </c>
      <c r="F827" s="25" t="s">
        <v>168</v>
      </c>
      <c r="G827" s="24">
        <v>802</v>
      </c>
      <c r="H827" s="19" t="str">
        <f>IF(LEN(G827)=0,"",VLOOKUP(G827,Issues!A:D,2,FALSE))</f>
        <v>(800) Politicas especiales operadores</v>
      </c>
      <c r="I827" s="20" t="str">
        <f>IF(LEN(G827)=0,"",VLOOKUP(G827,Issues!A:D,3,FALSE))</f>
        <v>Falla en colilla legal con info del cp.</v>
      </c>
      <c r="J827" s="19" t="str">
        <f>IF(LEN(G827)=0,"",VLOOKUP(G827,Issues!A:D,4,FALSE))</f>
        <v>Critico</v>
      </c>
      <c r="K827" s="21" t="str">
        <f t="shared" si="38"/>
        <v>Issue</v>
      </c>
    </row>
    <row r="828" spans="1:11" x14ac:dyDescent="0.35">
      <c r="A828" s="23">
        <v>46087</v>
      </c>
      <c r="B828" s="19" t="str">
        <f t="shared" si="37"/>
        <v>marzo</v>
      </c>
      <c r="C828" s="19" t="str">
        <f t="shared" si="39"/>
        <v>2026</v>
      </c>
      <c r="D828" s="25" t="s">
        <v>206</v>
      </c>
      <c r="E828" s="25" t="s">
        <v>11</v>
      </c>
      <c r="F828" s="25" t="s">
        <v>165</v>
      </c>
      <c r="G828" s="24">
        <v>408</v>
      </c>
      <c r="H828" s="19" t="str">
        <f>IF(LEN(G828)=0,"",VLOOKUP(G828,Issues!A:D,2,FALSE))</f>
        <v>(400) Portales / Web-App</v>
      </c>
      <c r="I828" s="20" t="str">
        <f>IF(LEN(G828)=0,"",VLOOKUP(G828,Issues!A:D,3,FALSE))</f>
        <v>Inconsistencias en los t&amp;c del portal / web-app.</v>
      </c>
      <c r="J828" s="19" t="str">
        <f>IF(LEN(G828)=0,"",VLOOKUP(G828,Issues!A:D,4,FALSE))</f>
        <v>Critico</v>
      </c>
      <c r="K828" s="21" t="str">
        <f t="shared" si="38"/>
        <v>Issue</v>
      </c>
    </row>
    <row r="829" spans="1:11" x14ac:dyDescent="0.35">
      <c r="A829" s="23">
        <v>46101</v>
      </c>
      <c r="B829" s="19" t="str">
        <f t="shared" si="37"/>
        <v>marzo</v>
      </c>
      <c r="C829" s="19" t="str">
        <f t="shared" si="39"/>
        <v>2026</v>
      </c>
      <c r="D829" s="25" t="s">
        <v>207</v>
      </c>
      <c r="E829" s="25" t="s">
        <v>20</v>
      </c>
      <c r="F829" s="25" t="s">
        <v>190</v>
      </c>
      <c r="G829" s="24">
        <v>500</v>
      </c>
      <c r="H829" s="19" t="str">
        <f>IF(LEN(G829)=0,"",VLOOKUP(G829,Issues!A:D,2,FALSE))</f>
        <v>(500) Baja / Cancelacion</v>
      </c>
      <c r="I829" s="20" t="str">
        <f>IF(LEN(G829)=0,"",VLOOKUP(G829,Issues!A:D,3,FALSE))</f>
        <v>Baja con éxito.</v>
      </c>
      <c r="J829" s="19" t="str">
        <f>IF(LEN(G829)=0,"",VLOOKUP(G829,Issues!A:D,4,FALSE))</f>
        <v>Prueba OK</v>
      </c>
      <c r="K829" s="21" t="str">
        <f t="shared" si="38"/>
        <v>OK</v>
      </c>
    </row>
    <row r="830" spans="1:11" x14ac:dyDescent="0.35">
      <c r="A830" s="23">
        <v>46104</v>
      </c>
      <c r="B830" s="19" t="str">
        <f t="shared" si="37"/>
        <v>marzo</v>
      </c>
      <c r="C830" s="19" t="str">
        <f t="shared" si="39"/>
        <v>2026</v>
      </c>
      <c r="D830" s="25" t="s">
        <v>208</v>
      </c>
      <c r="E830" s="25" t="s">
        <v>16</v>
      </c>
      <c r="F830" s="25" t="s">
        <v>176</v>
      </c>
      <c r="G830" s="24">
        <v>500</v>
      </c>
      <c r="H830" s="19" t="str">
        <f>IF(LEN(G830)=0,"",VLOOKUP(G830,Issues!A:D,2,FALSE))</f>
        <v>(500) Baja / Cancelacion</v>
      </c>
      <c r="I830" s="20" t="str">
        <f>IF(LEN(G830)=0,"",VLOOKUP(G830,Issues!A:D,3,FALSE))</f>
        <v>Baja con éxito.</v>
      </c>
      <c r="J830" s="19" t="str">
        <f>IF(LEN(G830)=0,"",VLOOKUP(G830,Issues!A:D,4,FALSE))</f>
        <v>Prueba OK</v>
      </c>
      <c r="K830" s="21" t="str">
        <f t="shared" si="38"/>
        <v>OK</v>
      </c>
    </row>
    <row r="831" spans="1:11" x14ac:dyDescent="0.35">
      <c r="A831" s="23">
        <v>46039</v>
      </c>
      <c r="B831" s="19" t="str">
        <f t="shared" si="37"/>
        <v>enero</v>
      </c>
      <c r="C831" s="19" t="str">
        <f t="shared" si="39"/>
        <v>2026</v>
      </c>
      <c r="D831" s="25" t="s">
        <v>208</v>
      </c>
      <c r="E831" s="25" t="s">
        <v>20</v>
      </c>
      <c r="F831" s="25" t="s">
        <v>188</v>
      </c>
      <c r="G831" s="24">
        <v>700</v>
      </c>
      <c r="H831" s="19" t="str">
        <f>IF(LEN(G831)=0,"",VLOOKUP(G831,Issues!A:D,2,FALSE))</f>
        <v>(700) Interaccion MO/MT (On Demand)</v>
      </c>
      <c r="I831" s="20" t="str">
        <f>IF(LEN(G831)=0,"",VLOOKUP(G831,Issues!A:D,3,FALSE))</f>
        <v>Flujo MO/MT con éxito.</v>
      </c>
      <c r="J831" s="19" t="str">
        <f>IF(LEN(G831)=0,"",VLOOKUP(G831,Issues!A:D,4,FALSE))</f>
        <v>Prueba OK</v>
      </c>
      <c r="K831" s="21" t="str">
        <f t="shared" si="38"/>
        <v>OK</v>
      </c>
    </row>
    <row r="832" spans="1:11" x14ac:dyDescent="0.35">
      <c r="A832" s="23">
        <v>46027</v>
      </c>
      <c r="B832" s="19" t="str">
        <f t="shared" si="37"/>
        <v>enero</v>
      </c>
      <c r="C832" s="19" t="str">
        <f t="shared" si="39"/>
        <v>2026</v>
      </c>
      <c r="D832" s="25" t="s">
        <v>207</v>
      </c>
      <c r="E832" s="25" t="s">
        <v>10</v>
      </c>
      <c r="F832" s="25" t="s">
        <v>161</v>
      </c>
      <c r="G832" s="24">
        <v>104</v>
      </c>
      <c r="H832" s="19" t="str">
        <f>IF(LEN(G832)=0,"",VLOOKUP(G832,Issues!A:D,2,FALSE))</f>
        <v>(100)  Alta</v>
      </c>
      <c r="I832" s="20" t="str">
        <f>IF(LEN(G832)=0,"",VLOOKUP(G832,Issues!A:D,3,FALSE))</f>
        <v>No llega pin code.</v>
      </c>
      <c r="J832" s="19" t="str">
        <f>IF(LEN(G832)=0,"",VLOOKUP(G832,Issues!A:D,4,FALSE))</f>
        <v>Medio</v>
      </c>
      <c r="K832" s="21" t="str">
        <f t="shared" si="38"/>
        <v>Issue</v>
      </c>
    </row>
    <row r="833" spans="1:11" x14ac:dyDescent="0.35">
      <c r="A833" s="23">
        <v>46087</v>
      </c>
      <c r="B833" s="19" t="str">
        <f t="shared" si="37"/>
        <v>marzo</v>
      </c>
      <c r="C833" s="19" t="str">
        <f t="shared" si="39"/>
        <v>2026</v>
      </c>
      <c r="D833" s="25" t="s">
        <v>206</v>
      </c>
      <c r="E833" s="25" t="s">
        <v>11</v>
      </c>
      <c r="F833" s="25" t="s">
        <v>165</v>
      </c>
      <c r="G833" s="24">
        <v>700</v>
      </c>
      <c r="H833" s="19" t="str">
        <f>IF(LEN(G833)=0,"",VLOOKUP(G833,Issues!A:D,2,FALSE))</f>
        <v>(700) Interaccion MO/MT (On Demand)</v>
      </c>
      <c r="I833" s="20" t="str">
        <f>IF(LEN(G833)=0,"",VLOOKUP(G833,Issues!A:D,3,FALSE))</f>
        <v>Flujo MO/MT con éxito.</v>
      </c>
      <c r="J833" s="19" t="str">
        <f>IF(LEN(G833)=0,"",VLOOKUP(G833,Issues!A:D,4,FALSE))</f>
        <v>Prueba OK</v>
      </c>
      <c r="K833" s="21" t="str">
        <f t="shared" si="38"/>
        <v>OK</v>
      </c>
    </row>
    <row r="834" spans="1:11" x14ac:dyDescent="0.35">
      <c r="A834" s="23">
        <v>46105</v>
      </c>
      <c r="B834" s="19" t="str">
        <f t="shared" si="37"/>
        <v>marzo</v>
      </c>
      <c r="C834" s="19" t="str">
        <f t="shared" si="39"/>
        <v>2026</v>
      </c>
      <c r="D834" s="25" t="s">
        <v>206</v>
      </c>
      <c r="E834" s="25" t="s">
        <v>27</v>
      </c>
      <c r="F834" s="25" t="s">
        <v>202</v>
      </c>
      <c r="G834" s="24">
        <v>303</v>
      </c>
      <c r="H834" s="19" t="str">
        <f>IF(LEN(G834)=0,"",VLOOKUP(G834,Issues!A:D,2,FALSE))</f>
        <v>(300) Cobros</v>
      </c>
      <c r="I834" s="20" t="str">
        <f>IF(LEN(G834)=0,"",VLOOKUP(G834,Issues!A:D,3,FALSE))</f>
        <v>Llego contenido (no hubo cobro).</v>
      </c>
      <c r="J834" s="19" t="str">
        <f>IF(LEN(G834)=0,"",VLOOKUP(G834,Issues!A:D,4,FALSE))</f>
        <v>Critico</v>
      </c>
      <c r="K834" s="21" t="str">
        <f t="shared" si="38"/>
        <v>Issue</v>
      </c>
    </row>
    <row r="835" spans="1:11" x14ac:dyDescent="0.35">
      <c r="A835" s="23">
        <v>46064</v>
      </c>
      <c r="B835" s="19" t="str">
        <f t="shared" ref="B835:B898" si="40">IF(LEN(A835)=0,"",TEXT(A835,"mmmm"))</f>
        <v>febrero</v>
      </c>
      <c r="C835" s="19" t="str">
        <f t="shared" si="39"/>
        <v>2026</v>
      </c>
      <c r="D835" s="25" t="s">
        <v>204</v>
      </c>
      <c r="E835" s="25" t="s">
        <v>20</v>
      </c>
      <c r="F835" s="25" t="s">
        <v>189</v>
      </c>
      <c r="G835" s="24">
        <v>406</v>
      </c>
      <c r="H835" s="19" t="str">
        <f>IF(LEN(G835)=0,"",VLOOKUP(G835,Issues!A:D,2,FALSE))</f>
        <v>(400) Portales / Web-App</v>
      </c>
      <c r="I835" s="20" t="str">
        <f>IF(LEN(G835)=0,"",VLOOKUP(G835,Issues!A:D,3,FALSE))</f>
        <v>No descarga contenidos - problemas con la descarga.</v>
      </c>
      <c r="J835" s="19" t="str">
        <f>IF(LEN(G835)=0,"",VLOOKUP(G835,Issues!A:D,4,FALSE))</f>
        <v>Critico</v>
      </c>
      <c r="K835" s="21" t="str">
        <f t="shared" ref="K835:K898" si="41">IF(LEN(G835)=0,"",IF(OR(J835="critico",J835="Medio",J835="Bajo"),"Issue",IF(J835="Prueba OK","OK","")))</f>
        <v>Issue</v>
      </c>
    </row>
    <row r="836" spans="1:11" x14ac:dyDescent="0.35">
      <c r="A836" s="23">
        <v>46027</v>
      </c>
      <c r="B836" s="19" t="str">
        <f t="shared" si="40"/>
        <v>enero</v>
      </c>
      <c r="C836" s="19" t="str">
        <f t="shared" si="39"/>
        <v>2026</v>
      </c>
      <c r="D836" s="25" t="s">
        <v>205</v>
      </c>
      <c r="E836" s="25" t="s">
        <v>10</v>
      </c>
      <c r="F836" s="25" t="s">
        <v>163</v>
      </c>
      <c r="G836" s="24">
        <v>407</v>
      </c>
      <c r="H836" s="19" t="str">
        <f>IF(LEN(G836)=0,"",VLOOKUP(G836,Issues!A:D,2,FALSE))</f>
        <v>(400) Portales / Web-App</v>
      </c>
      <c r="I836" s="20" t="str">
        <f>IF(LEN(G836)=0,"",VLOOKUP(G836,Issues!A:D,3,FALSE))</f>
        <v>No funciona la interaccion.</v>
      </c>
      <c r="J836" s="19" t="str">
        <f>IF(LEN(G836)=0,"",VLOOKUP(G836,Issues!A:D,4,FALSE))</f>
        <v>Critico</v>
      </c>
      <c r="K836" s="21" t="str">
        <f t="shared" si="41"/>
        <v>Issue</v>
      </c>
    </row>
    <row r="837" spans="1:11" x14ac:dyDescent="0.35">
      <c r="A837" s="23">
        <v>46113</v>
      </c>
      <c r="B837" s="19" t="str">
        <f t="shared" si="40"/>
        <v>abril</v>
      </c>
      <c r="C837" s="19" t="str">
        <f t="shared" si="39"/>
        <v>2026</v>
      </c>
      <c r="D837" s="25" t="s">
        <v>208</v>
      </c>
      <c r="E837" s="25" t="s">
        <v>22</v>
      </c>
      <c r="F837" s="25" t="s">
        <v>154</v>
      </c>
      <c r="G837" s="24">
        <v>100</v>
      </c>
      <c r="H837" s="19" t="str">
        <f>IF(LEN(G837)=0,"",VLOOKUP(G837,Issues!A:D,2,FALSE))</f>
        <v>(100)  Alta</v>
      </c>
      <c r="I837" s="20" t="str">
        <f>IF(LEN(G837)=0,"",VLOOKUP(G837,Issues!A:D,3,FALSE))</f>
        <v>Alta con éxito.</v>
      </c>
      <c r="J837" s="19" t="str">
        <f>IF(LEN(G837)=0,"",VLOOKUP(G837,Issues!A:D,4,FALSE))</f>
        <v>Prueba OK</v>
      </c>
      <c r="K837" s="21" t="str">
        <f t="shared" si="41"/>
        <v>OK</v>
      </c>
    </row>
    <row r="838" spans="1:11" x14ac:dyDescent="0.35">
      <c r="A838" s="23">
        <v>46141</v>
      </c>
      <c r="B838" s="19" t="str">
        <f t="shared" si="40"/>
        <v>abril</v>
      </c>
      <c r="C838" s="19" t="str">
        <f t="shared" si="39"/>
        <v>2026</v>
      </c>
      <c r="D838" s="25" t="s">
        <v>207</v>
      </c>
      <c r="E838" s="25" t="s">
        <v>21</v>
      </c>
      <c r="F838" s="25" t="s">
        <v>191</v>
      </c>
      <c r="G838" s="24">
        <v>500</v>
      </c>
      <c r="H838" s="19" t="str">
        <f>IF(LEN(G838)=0,"",VLOOKUP(G838,Issues!A:D,2,FALSE))</f>
        <v>(500) Baja / Cancelacion</v>
      </c>
      <c r="I838" s="20" t="str">
        <f>IF(LEN(G838)=0,"",VLOOKUP(G838,Issues!A:D,3,FALSE))</f>
        <v>Baja con éxito.</v>
      </c>
      <c r="J838" s="19" t="str">
        <f>IF(LEN(G838)=0,"",VLOOKUP(G838,Issues!A:D,4,FALSE))</f>
        <v>Prueba OK</v>
      </c>
      <c r="K838" s="21" t="str">
        <f t="shared" si="41"/>
        <v>OK</v>
      </c>
    </row>
    <row r="839" spans="1:11" x14ac:dyDescent="0.35">
      <c r="A839" s="23">
        <v>46044</v>
      </c>
      <c r="B839" s="19" t="str">
        <f t="shared" si="40"/>
        <v>enero</v>
      </c>
      <c r="C839" s="19" t="str">
        <f t="shared" si="39"/>
        <v>2026</v>
      </c>
      <c r="D839" s="25" t="s">
        <v>207</v>
      </c>
      <c r="E839" s="25" t="s">
        <v>19</v>
      </c>
      <c r="F839" s="25" t="s">
        <v>186</v>
      </c>
      <c r="G839" s="24">
        <v>802</v>
      </c>
      <c r="H839" s="19" t="str">
        <f>IF(LEN(G839)=0,"",VLOOKUP(G839,Issues!A:D,2,FALSE))</f>
        <v>(800) Politicas especiales operadores</v>
      </c>
      <c r="I839" s="20" t="str">
        <f>IF(LEN(G839)=0,"",VLOOKUP(G839,Issues!A:D,3,FALSE))</f>
        <v>Falla en colilla legal con info del cp.</v>
      </c>
      <c r="J839" s="19" t="str">
        <f>IF(LEN(G839)=0,"",VLOOKUP(G839,Issues!A:D,4,FALSE))</f>
        <v>Critico</v>
      </c>
      <c r="K839" s="21" t="str">
        <f t="shared" si="41"/>
        <v>Issue</v>
      </c>
    </row>
    <row r="840" spans="1:11" x14ac:dyDescent="0.35">
      <c r="A840" s="23">
        <v>46095</v>
      </c>
      <c r="B840" s="19" t="str">
        <f t="shared" si="40"/>
        <v>marzo</v>
      </c>
      <c r="C840" s="19" t="str">
        <f t="shared" si="39"/>
        <v>2026</v>
      </c>
      <c r="D840" s="25" t="s">
        <v>208</v>
      </c>
      <c r="E840" s="25" t="s">
        <v>15</v>
      </c>
      <c r="F840" s="25" t="s">
        <v>175</v>
      </c>
      <c r="G840" s="24">
        <v>507</v>
      </c>
      <c r="H840" s="19" t="str">
        <f>IF(LEN(G840)=0,"",VLOOKUP(G840,Issues!A:D,2,FALSE))</f>
        <v>(500) Baja / Cancelacion</v>
      </c>
      <c r="I840" s="20" t="str">
        <f>IF(LEN(G840)=0,"",VLOOKUP(G840,Issues!A:D,3,FALSE))</f>
        <v>No funciona la baja desde portal / web app.</v>
      </c>
      <c r="J840" s="19" t="str">
        <f>IF(LEN(G840)=0,"",VLOOKUP(G840,Issues!A:D,4,FALSE))</f>
        <v>Critico</v>
      </c>
      <c r="K840" s="21" t="str">
        <f t="shared" si="41"/>
        <v>Issue</v>
      </c>
    </row>
    <row r="841" spans="1:11" x14ac:dyDescent="0.35">
      <c r="A841" s="23">
        <v>46134</v>
      </c>
      <c r="B841" s="19" t="str">
        <f t="shared" si="40"/>
        <v>abril</v>
      </c>
      <c r="C841" s="19" t="str">
        <f t="shared" si="39"/>
        <v>2026</v>
      </c>
      <c r="D841" s="25" t="s">
        <v>207</v>
      </c>
      <c r="E841" s="25" t="s">
        <v>15</v>
      </c>
      <c r="F841" s="25" t="s">
        <v>173</v>
      </c>
      <c r="G841" s="24">
        <v>801</v>
      </c>
      <c r="H841" s="19" t="str">
        <f>IF(LEN(G841)=0,"",VLOOKUP(G841,Issues!A:D,2,FALSE))</f>
        <v>(800) Politicas especiales operadores</v>
      </c>
      <c r="I841" s="20" t="str">
        <f>IF(LEN(G841)=0,"",VLOOKUP(G841,Issues!A:D,3,FALSE))</f>
        <v>No da respuesta a kw regulatorio.</v>
      </c>
      <c r="J841" s="19" t="str">
        <f>IF(LEN(G841)=0,"",VLOOKUP(G841,Issues!A:D,4,FALSE))</f>
        <v>Critico</v>
      </c>
      <c r="K841" s="21" t="str">
        <f t="shared" si="41"/>
        <v>Issue</v>
      </c>
    </row>
    <row r="842" spans="1:11" x14ac:dyDescent="0.35">
      <c r="A842" s="23">
        <v>46081</v>
      </c>
      <c r="B842" s="19" t="str">
        <f t="shared" si="40"/>
        <v>febrero</v>
      </c>
      <c r="C842" s="19" t="str">
        <f t="shared" si="39"/>
        <v>2026</v>
      </c>
      <c r="D842" s="25" t="s">
        <v>206</v>
      </c>
      <c r="E842" s="25" t="s">
        <v>18</v>
      </c>
      <c r="F842" s="25" t="s">
        <v>183</v>
      </c>
      <c r="G842" s="24">
        <v>403</v>
      </c>
      <c r="H842" s="19" t="str">
        <f>IF(LEN(G842)=0,"",VLOOKUP(G842,Issues!A:D,2,FALSE))</f>
        <v>(400) Portales / Web-App</v>
      </c>
      <c r="I842" s="20" t="str">
        <f>IF(LEN(G842)=0,"",VLOOKUP(G842,Issues!A:D,3,FALSE))</f>
        <v>Portal desactualizado.</v>
      </c>
      <c r="J842" s="19" t="str">
        <f>IF(LEN(G842)=0,"",VLOOKUP(G842,Issues!A:D,4,FALSE))</f>
        <v>Medio</v>
      </c>
      <c r="K842" s="21" t="str">
        <f t="shared" si="41"/>
        <v>Issue</v>
      </c>
    </row>
    <row r="843" spans="1:11" x14ac:dyDescent="0.35">
      <c r="A843" s="23">
        <v>46138</v>
      </c>
      <c r="B843" s="19" t="str">
        <f t="shared" si="40"/>
        <v>abril</v>
      </c>
      <c r="C843" s="19" t="str">
        <f t="shared" si="39"/>
        <v>2026</v>
      </c>
      <c r="D843" s="25" t="s">
        <v>207</v>
      </c>
      <c r="E843" s="25" t="s">
        <v>13</v>
      </c>
      <c r="F843" s="25" t="s">
        <v>153</v>
      </c>
      <c r="G843" s="24">
        <v>208</v>
      </c>
      <c r="H843" s="19" t="str">
        <f>IF(LEN(G843)=0,"",VLOOKUP(G843,Issues!A:D,2,FALSE))</f>
        <v>(200) Contenidos</v>
      </c>
      <c r="I843" s="20" t="str">
        <f>IF(LEN(G843)=0,"",VLOOKUP(G843,Issues!A:D,3,FALSE))</f>
        <v>No cumple las politicas de estructura del operador.</v>
      </c>
      <c r="J843" s="19" t="str">
        <f>IF(LEN(G843)=0,"",VLOOKUP(G843,Issues!A:D,4,FALSE))</f>
        <v>Critico</v>
      </c>
      <c r="K843" s="21" t="str">
        <f t="shared" si="41"/>
        <v>Issue</v>
      </c>
    </row>
    <row r="844" spans="1:11" x14ac:dyDescent="0.35">
      <c r="A844" s="23">
        <v>46128</v>
      </c>
      <c r="B844" s="19" t="str">
        <f t="shared" si="40"/>
        <v>abril</v>
      </c>
      <c r="C844" s="19" t="str">
        <f t="shared" si="39"/>
        <v>2026</v>
      </c>
      <c r="D844" s="25" t="s">
        <v>206</v>
      </c>
      <c r="E844" s="25" t="s">
        <v>18</v>
      </c>
      <c r="F844" s="25" t="s">
        <v>182</v>
      </c>
      <c r="G844" s="24">
        <v>800</v>
      </c>
      <c r="H844" s="19" t="str">
        <f>IF(LEN(G844)=0,"",VLOOKUP(G844,Issues!A:D,2,FALSE))</f>
        <v>(800) Politicas especiales operadores</v>
      </c>
      <c r="I844" s="20" t="str">
        <f>IF(LEN(G844)=0,"",VLOOKUP(G844,Issues!A:D,3,FALSE))</f>
        <v>Politicas de los operadores cumplidas.</v>
      </c>
      <c r="J844" s="19" t="str">
        <f>IF(LEN(G844)=0,"",VLOOKUP(G844,Issues!A:D,4,FALSE))</f>
        <v>Prueba OK</v>
      </c>
      <c r="K844" s="21" t="str">
        <f t="shared" si="41"/>
        <v>OK</v>
      </c>
    </row>
    <row r="845" spans="1:11" x14ac:dyDescent="0.35">
      <c r="A845" s="23">
        <v>46059</v>
      </c>
      <c r="B845" s="19" t="str">
        <f t="shared" si="40"/>
        <v>febrero</v>
      </c>
      <c r="C845" s="19" t="str">
        <f t="shared" si="39"/>
        <v>2026</v>
      </c>
      <c r="D845" s="25" t="s">
        <v>206</v>
      </c>
      <c r="E845" s="25" t="s">
        <v>18</v>
      </c>
      <c r="F845" s="25" t="s">
        <v>183</v>
      </c>
      <c r="G845" s="24">
        <v>500</v>
      </c>
      <c r="H845" s="19" t="str">
        <f>IF(LEN(G845)=0,"",VLOOKUP(G845,Issues!A:D,2,FALSE))</f>
        <v>(500) Baja / Cancelacion</v>
      </c>
      <c r="I845" s="20" t="str">
        <f>IF(LEN(G845)=0,"",VLOOKUP(G845,Issues!A:D,3,FALSE))</f>
        <v>Baja con éxito.</v>
      </c>
      <c r="J845" s="19" t="str">
        <f>IF(LEN(G845)=0,"",VLOOKUP(G845,Issues!A:D,4,FALSE))</f>
        <v>Prueba OK</v>
      </c>
      <c r="K845" s="21" t="str">
        <f t="shared" si="41"/>
        <v>OK</v>
      </c>
    </row>
    <row r="846" spans="1:11" x14ac:dyDescent="0.35">
      <c r="A846" s="23">
        <v>46078</v>
      </c>
      <c r="B846" s="19" t="str">
        <f t="shared" si="40"/>
        <v>febrero</v>
      </c>
      <c r="C846" s="19" t="str">
        <f t="shared" si="39"/>
        <v>2026</v>
      </c>
      <c r="D846" s="25" t="s">
        <v>207</v>
      </c>
      <c r="E846" s="25" t="s">
        <v>25</v>
      </c>
      <c r="F846" s="25" t="s">
        <v>197</v>
      </c>
      <c r="G846" s="24">
        <v>103</v>
      </c>
      <c r="H846" s="19" t="str">
        <f>IF(LEN(G846)=0,"",VLOOKUP(G846,Issues!A:D,2,FALSE))</f>
        <v>(100)  Alta</v>
      </c>
      <c r="I846" s="20" t="str">
        <f>IF(LEN(G846)=0,"",VLOOKUP(G846,Issues!A:D,3,FALSE))</f>
        <v>Inconsistencia en el welcome.</v>
      </c>
      <c r="J846" s="19" t="str">
        <f>IF(LEN(G846)=0,"",VLOOKUP(G846,Issues!A:D,4,FALSE))</f>
        <v>Critico</v>
      </c>
      <c r="K846" s="21" t="str">
        <f t="shared" si="41"/>
        <v>Issue</v>
      </c>
    </row>
    <row r="847" spans="1:11" x14ac:dyDescent="0.35">
      <c r="A847" s="23">
        <v>46042</v>
      </c>
      <c r="B847" s="19" t="str">
        <f t="shared" si="40"/>
        <v>enero</v>
      </c>
      <c r="C847" s="19" t="str">
        <f t="shared" si="39"/>
        <v>2026</v>
      </c>
      <c r="D847" s="25" t="s">
        <v>206</v>
      </c>
      <c r="E847" s="25" t="s">
        <v>20</v>
      </c>
      <c r="F847" s="25" t="s">
        <v>190</v>
      </c>
      <c r="G847" s="24">
        <v>113</v>
      </c>
      <c r="H847" s="19" t="str">
        <f>IF(LEN(G847)=0,"",VLOOKUP(G847,Issues!A:D,2,FALSE))</f>
        <v>(100)  Alta</v>
      </c>
      <c r="I847" s="20" t="str">
        <f>IF(LEN(G847)=0,"",VLOOKUP(G847,Issues!A:D,3,FALSE))</f>
        <v>Servicio suspendido.</v>
      </c>
      <c r="J847" s="19" t="str">
        <f>IF(LEN(G847)=0,"",VLOOKUP(G847,Issues!A:D,4,FALSE))</f>
        <v>Medio</v>
      </c>
      <c r="K847" s="21" t="str">
        <f t="shared" si="41"/>
        <v>Issue</v>
      </c>
    </row>
    <row r="848" spans="1:11" x14ac:dyDescent="0.35">
      <c r="A848" s="23">
        <v>46059</v>
      </c>
      <c r="B848" s="19" t="str">
        <f t="shared" si="40"/>
        <v>febrero</v>
      </c>
      <c r="C848" s="19" t="str">
        <f t="shared" si="39"/>
        <v>2026</v>
      </c>
      <c r="D848" s="25" t="s">
        <v>207</v>
      </c>
      <c r="E848" s="25" t="s">
        <v>10</v>
      </c>
      <c r="F848" s="25" t="s">
        <v>162</v>
      </c>
      <c r="G848" s="24">
        <v>402</v>
      </c>
      <c r="H848" s="19" t="str">
        <f>IF(LEN(G848)=0,"",VLOOKUP(G848,Issues!A:D,2,FALSE))</f>
        <v>(400) Portales / Web-App</v>
      </c>
      <c r="I848" s="20" t="str">
        <f>IF(LEN(G848)=0,"",VLOOKUP(G848,Issues!A:D,3,FALSE))</f>
        <v>Portal / web-app caida.</v>
      </c>
      <c r="J848" s="19" t="str">
        <f>IF(LEN(G848)=0,"",VLOOKUP(G848,Issues!A:D,4,FALSE))</f>
        <v>Critico</v>
      </c>
      <c r="K848" s="21" t="str">
        <f t="shared" si="41"/>
        <v>Issue</v>
      </c>
    </row>
    <row r="849" spans="1:11" x14ac:dyDescent="0.35">
      <c r="A849" s="23">
        <v>46154</v>
      </c>
      <c r="B849" s="19" t="str">
        <f t="shared" si="40"/>
        <v>mayo</v>
      </c>
      <c r="C849" s="19" t="str">
        <f t="shared" si="39"/>
        <v>2026</v>
      </c>
      <c r="D849" s="25" t="s">
        <v>206</v>
      </c>
      <c r="E849" s="25" t="s">
        <v>23</v>
      </c>
      <c r="F849" s="25" t="s">
        <v>194</v>
      </c>
      <c r="G849" s="24">
        <v>406</v>
      </c>
      <c r="H849" s="19" t="str">
        <f>IF(LEN(G849)=0,"",VLOOKUP(G849,Issues!A:D,2,FALSE))</f>
        <v>(400) Portales / Web-App</v>
      </c>
      <c r="I849" s="20" t="str">
        <f>IF(LEN(G849)=0,"",VLOOKUP(G849,Issues!A:D,3,FALSE))</f>
        <v>No descarga contenidos - problemas con la descarga.</v>
      </c>
      <c r="J849" s="19" t="str">
        <f>IF(LEN(G849)=0,"",VLOOKUP(G849,Issues!A:D,4,FALSE))</f>
        <v>Critico</v>
      </c>
      <c r="K849" s="21" t="str">
        <f t="shared" si="41"/>
        <v>Issue</v>
      </c>
    </row>
    <row r="850" spans="1:11" x14ac:dyDescent="0.35">
      <c r="A850" s="23">
        <v>46069</v>
      </c>
      <c r="B850" s="19" t="str">
        <f t="shared" si="40"/>
        <v>febrero</v>
      </c>
      <c r="C850" s="19" t="str">
        <f t="shared" si="39"/>
        <v>2026</v>
      </c>
      <c r="D850" s="25" t="s">
        <v>208</v>
      </c>
      <c r="E850" s="25" t="s">
        <v>27</v>
      </c>
      <c r="F850" s="25" t="s">
        <v>200</v>
      </c>
      <c r="G850" s="24">
        <v>300</v>
      </c>
      <c r="H850" s="19" t="str">
        <f>IF(LEN(G850)=0,"",VLOOKUP(G850,Issues!A:D,2,FALSE))</f>
        <v>(300) Cobros</v>
      </c>
      <c r="I850" s="20" t="str">
        <f>IF(LEN(G850)=0,"",VLOOKUP(G850,Issues!A:D,3,FALSE))</f>
        <v>Cobro en valor y forma correcto.</v>
      </c>
      <c r="J850" s="19" t="str">
        <f>IF(LEN(G850)=0,"",VLOOKUP(G850,Issues!A:D,4,FALSE))</f>
        <v>Prueba OK</v>
      </c>
      <c r="K850" s="21" t="str">
        <f t="shared" si="41"/>
        <v>OK</v>
      </c>
    </row>
    <row r="851" spans="1:11" x14ac:dyDescent="0.35">
      <c r="A851" s="23">
        <v>46118</v>
      </c>
      <c r="B851" s="19" t="str">
        <f t="shared" si="40"/>
        <v>abril</v>
      </c>
      <c r="C851" s="19" t="str">
        <f t="shared" ref="C851:C914" si="42">IF(LEN(A851)=0,"",TEXT(A851,"aaaa"))</f>
        <v>2026</v>
      </c>
      <c r="D851" s="25" t="s">
        <v>206</v>
      </c>
      <c r="E851" s="25" t="s">
        <v>20</v>
      </c>
      <c r="F851" s="25" t="s">
        <v>189</v>
      </c>
      <c r="G851" s="24">
        <v>108</v>
      </c>
      <c r="H851" s="19" t="str">
        <f>IF(LEN(G851)=0,"",VLOOKUP(G851,Issues!A:D,2,FALSE))</f>
        <v>(100)  Alta</v>
      </c>
      <c r="I851" s="20" t="str">
        <f>IF(LEN(G851)=0,"",VLOOKUP(G851,Issues!A:D,3,FALSE))</f>
        <v>Inconsistencias en t&amp;c en la lp.</v>
      </c>
      <c r="J851" s="19" t="str">
        <f>IF(LEN(G851)=0,"",VLOOKUP(G851,Issues!A:D,4,FALSE))</f>
        <v>Critico</v>
      </c>
      <c r="K851" s="21" t="str">
        <f t="shared" si="41"/>
        <v>Issue</v>
      </c>
    </row>
    <row r="852" spans="1:11" x14ac:dyDescent="0.35">
      <c r="A852" s="23">
        <v>46141</v>
      </c>
      <c r="B852" s="19" t="str">
        <f t="shared" si="40"/>
        <v>abril</v>
      </c>
      <c r="C852" s="19" t="str">
        <f t="shared" si="42"/>
        <v>2026</v>
      </c>
      <c r="D852" s="25" t="s">
        <v>204</v>
      </c>
      <c r="E852" s="25" t="s">
        <v>22</v>
      </c>
      <c r="F852" s="25" t="s">
        <v>158</v>
      </c>
      <c r="G852" s="24">
        <v>306</v>
      </c>
      <c r="H852" s="19" t="str">
        <f>IF(LEN(G852)=0,"",VLOOKUP(G852,Issues!A:D,2,FALSE))</f>
        <v>(300) Cobros</v>
      </c>
      <c r="I852" s="20" t="str">
        <f>IF(LEN(G852)=0,"",VLOOKUP(G852,Issues!A:D,3,FALSE))</f>
        <v>Inconsistencias en la recurrencia del cobro.</v>
      </c>
      <c r="J852" s="19" t="str">
        <f>IF(LEN(G852)=0,"",VLOOKUP(G852,Issues!A:D,4,FALSE))</f>
        <v>Critico</v>
      </c>
      <c r="K852" s="21" t="str">
        <f t="shared" si="41"/>
        <v>Issue</v>
      </c>
    </row>
    <row r="853" spans="1:11" x14ac:dyDescent="0.35">
      <c r="A853" s="23">
        <v>46097</v>
      </c>
      <c r="B853" s="19" t="str">
        <f t="shared" si="40"/>
        <v>marzo</v>
      </c>
      <c r="C853" s="19" t="str">
        <f t="shared" si="42"/>
        <v>2026</v>
      </c>
      <c r="D853" s="25" t="s">
        <v>206</v>
      </c>
      <c r="E853" s="25" t="s">
        <v>26</v>
      </c>
      <c r="F853" s="25" t="s">
        <v>152</v>
      </c>
      <c r="G853" s="24">
        <v>403</v>
      </c>
      <c r="H853" s="19" t="str">
        <f>IF(LEN(G853)=0,"",VLOOKUP(G853,Issues!A:D,2,FALSE))</f>
        <v>(400) Portales / Web-App</v>
      </c>
      <c r="I853" s="20" t="str">
        <f>IF(LEN(G853)=0,"",VLOOKUP(G853,Issues!A:D,3,FALSE))</f>
        <v>Portal desactualizado.</v>
      </c>
      <c r="J853" s="19" t="str">
        <f>IF(LEN(G853)=0,"",VLOOKUP(G853,Issues!A:D,4,FALSE))</f>
        <v>Medio</v>
      </c>
      <c r="K853" s="21" t="str">
        <f t="shared" si="41"/>
        <v>Issue</v>
      </c>
    </row>
    <row r="854" spans="1:11" x14ac:dyDescent="0.35">
      <c r="A854" s="23">
        <v>46039</v>
      </c>
      <c r="B854" s="19" t="str">
        <f t="shared" si="40"/>
        <v>enero</v>
      </c>
      <c r="C854" s="19" t="str">
        <f t="shared" si="42"/>
        <v>2026</v>
      </c>
      <c r="D854" s="25" t="s">
        <v>206</v>
      </c>
      <c r="E854" s="25" t="s">
        <v>11</v>
      </c>
      <c r="F854" s="25" t="s">
        <v>164</v>
      </c>
      <c r="G854" s="24">
        <v>110</v>
      </c>
      <c r="H854" s="19" t="str">
        <f>IF(LEN(G854)=0,"",VLOOKUP(G854,Issues!A:D,2,FALSE))</f>
        <v>(100)  Alta</v>
      </c>
      <c r="I854" s="20" t="str">
        <f>IF(LEN(G854)=0,"",VLOOKUP(G854,Issues!A:D,3,FALSE))</f>
        <v>Falla en alta a traves de ivr.</v>
      </c>
      <c r="J854" s="19" t="str">
        <f>IF(LEN(G854)=0,"",VLOOKUP(G854,Issues!A:D,4,FALSE))</f>
        <v>Critico</v>
      </c>
      <c r="K854" s="21" t="str">
        <f t="shared" si="41"/>
        <v>Issue</v>
      </c>
    </row>
    <row r="855" spans="1:11" x14ac:dyDescent="0.35">
      <c r="A855" s="23">
        <v>46121</v>
      </c>
      <c r="B855" s="19" t="str">
        <f t="shared" si="40"/>
        <v>abril</v>
      </c>
      <c r="C855" s="19" t="str">
        <f t="shared" si="42"/>
        <v>2026</v>
      </c>
      <c r="D855" s="25" t="s">
        <v>208</v>
      </c>
      <c r="E855" s="25" t="s">
        <v>23</v>
      </c>
      <c r="F855" s="25" t="s">
        <v>196</v>
      </c>
      <c r="G855" s="24">
        <v>700</v>
      </c>
      <c r="H855" s="19" t="str">
        <f>IF(LEN(G855)=0,"",VLOOKUP(G855,Issues!A:D,2,FALSE))</f>
        <v>(700) Interaccion MO/MT (On Demand)</v>
      </c>
      <c r="I855" s="20" t="str">
        <f>IF(LEN(G855)=0,"",VLOOKUP(G855,Issues!A:D,3,FALSE))</f>
        <v>Flujo MO/MT con éxito.</v>
      </c>
      <c r="J855" s="19" t="str">
        <f>IF(LEN(G855)=0,"",VLOOKUP(G855,Issues!A:D,4,FALSE))</f>
        <v>Prueba OK</v>
      </c>
      <c r="K855" s="21" t="str">
        <f t="shared" si="41"/>
        <v>OK</v>
      </c>
    </row>
    <row r="856" spans="1:11" x14ac:dyDescent="0.35">
      <c r="A856" s="23">
        <v>46058</v>
      </c>
      <c r="B856" s="19" t="str">
        <f t="shared" si="40"/>
        <v>febrero</v>
      </c>
      <c r="C856" s="19" t="str">
        <f t="shared" si="42"/>
        <v>2026</v>
      </c>
      <c r="D856" s="25" t="s">
        <v>206</v>
      </c>
      <c r="E856" s="25" t="s">
        <v>24</v>
      </c>
      <c r="F856" s="25" t="s">
        <v>155</v>
      </c>
      <c r="G856" s="24">
        <v>201</v>
      </c>
      <c r="H856" s="19" t="str">
        <f>IF(LEN(G856)=0,"",VLOOKUP(G856,Issues!A:D,2,FALSE))</f>
        <v>(200) Contenidos</v>
      </c>
      <c r="I856" s="20" t="str">
        <f>IF(LEN(G856)=0,"",VLOOKUP(G856,Issues!A:D,3,FALSE))</f>
        <v>Entrega de mensaje fuera de horario establecido.</v>
      </c>
      <c r="J856" s="19" t="str">
        <f>IF(LEN(G856)=0,"",VLOOKUP(G856,Issues!A:D,4,FALSE))</f>
        <v>Critico</v>
      </c>
      <c r="K856" s="21" t="str">
        <f t="shared" si="41"/>
        <v>Issue</v>
      </c>
    </row>
    <row r="857" spans="1:11" x14ac:dyDescent="0.35">
      <c r="A857" s="23">
        <v>46116</v>
      </c>
      <c r="B857" s="19" t="str">
        <f t="shared" si="40"/>
        <v>abril</v>
      </c>
      <c r="C857" s="19" t="str">
        <f t="shared" si="42"/>
        <v>2026</v>
      </c>
      <c r="D857" s="25" t="s">
        <v>207</v>
      </c>
      <c r="E857" s="25" t="s">
        <v>25</v>
      </c>
      <c r="F857" s="25" t="s">
        <v>198</v>
      </c>
      <c r="G857" s="24">
        <v>200</v>
      </c>
      <c r="H857" s="19" t="str">
        <f>IF(LEN(G857)=0,"",VLOOKUP(G857,Issues!A:D,2,FALSE))</f>
        <v>(200) Contenidos</v>
      </c>
      <c r="I857" s="20" t="str">
        <f>IF(LEN(G857)=0,"",VLOOKUP(G857,Issues!A:D,3,FALSE))</f>
        <v>Contenidos recibido con éxito.</v>
      </c>
      <c r="J857" s="19" t="str">
        <f>IF(LEN(G857)=0,"",VLOOKUP(G857,Issues!A:D,4,FALSE))</f>
        <v>Prueba OK</v>
      </c>
      <c r="K857" s="21" t="str">
        <f t="shared" si="41"/>
        <v>OK</v>
      </c>
    </row>
    <row r="858" spans="1:11" x14ac:dyDescent="0.35">
      <c r="A858" s="23">
        <v>46059</v>
      </c>
      <c r="B858" s="19" t="str">
        <f t="shared" si="40"/>
        <v>febrero</v>
      </c>
      <c r="C858" s="19" t="str">
        <f t="shared" si="42"/>
        <v>2026</v>
      </c>
      <c r="D858" s="25" t="s">
        <v>209</v>
      </c>
      <c r="E858" s="25" t="s">
        <v>17</v>
      </c>
      <c r="F858" s="25" t="s">
        <v>179</v>
      </c>
      <c r="G858" s="24">
        <v>408</v>
      </c>
      <c r="H858" s="19" t="str">
        <f>IF(LEN(G858)=0,"",VLOOKUP(G858,Issues!A:D,2,FALSE))</f>
        <v>(400) Portales / Web-App</v>
      </c>
      <c r="I858" s="20" t="str">
        <f>IF(LEN(G858)=0,"",VLOOKUP(G858,Issues!A:D,3,FALSE))</f>
        <v>Inconsistencias en los t&amp;c del portal / web-app.</v>
      </c>
      <c r="J858" s="19" t="str">
        <f>IF(LEN(G858)=0,"",VLOOKUP(G858,Issues!A:D,4,FALSE))</f>
        <v>Critico</v>
      </c>
      <c r="K858" s="21" t="str">
        <f t="shared" si="41"/>
        <v>Issue</v>
      </c>
    </row>
    <row r="859" spans="1:11" x14ac:dyDescent="0.35">
      <c r="A859" s="23">
        <v>46146</v>
      </c>
      <c r="B859" s="19" t="str">
        <f t="shared" si="40"/>
        <v>mayo</v>
      </c>
      <c r="C859" s="19" t="str">
        <f t="shared" si="42"/>
        <v>2026</v>
      </c>
      <c r="D859" s="25" t="s">
        <v>206</v>
      </c>
      <c r="E859" s="25" t="s">
        <v>20</v>
      </c>
      <c r="F859" s="25" t="s">
        <v>190</v>
      </c>
      <c r="G859" s="24">
        <v>200</v>
      </c>
      <c r="H859" s="19" t="str">
        <f>IF(LEN(G859)=0,"",VLOOKUP(G859,Issues!A:D,2,FALSE))</f>
        <v>(200) Contenidos</v>
      </c>
      <c r="I859" s="20" t="str">
        <f>IF(LEN(G859)=0,"",VLOOKUP(G859,Issues!A:D,3,FALSE))</f>
        <v>Contenidos recibido con éxito.</v>
      </c>
      <c r="J859" s="19" t="str">
        <f>IF(LEN(G859)=0,"",VLOOKUP(G859,Issues!A:D,4,FALSE))</f>
        <v>Prueba OK</v>
      </c>
      <c r="K859" s="21" t="str">
        <f t="shared" si="41"/>
        <v>OK</v>
      </c>
    </row>
    <row r="860" spans="1:11" x14ac:dyDescent="0.35">
      <c r="A860" s="23">
        <v>46119</v>
      </c>
      <c r="B860" s="19" t="str">
        <f t="shared" si="40"/>
        <v>abril</v>
      </c>
      <c r="C860" s="19" t="str">
        <f t="shared" si="42"/>
        <v>2026</v>
      </c>
      <c r="D860" s="25" t="s">
        <v>206</v>
      </c>
      <c r="E860" s="25" t="s">
        <v>15</v>
      </c>
      <c r="F860" s="25" t="s">
        <v>173</v>
      </c>
      <c r="G860" s="24">
        <v>400</v>
      </c>
      <c r="H860" s="19" t="str">
        <f>IF(LEN(G860)=0,"",VLOOKUP(G860,Issues!A:D,2,FALSE))</f>
        <v>(400) Portales / Web-App</v>
      </c>
      <c r="I860" s="20" t="str">
        <f>IF(LEN(G860)=0,"",VLOOKUP(G860,Issues!A:D,3,FALSE))</f>
        <v>Portal evaluado con éxito.</v>
      </c>
      <c r="J860" s="19" t="str">
        <f>IF(LEN(G860)=0,"",VLOOKUP(G860,Issues!A:D,4,FALSE))</f>
        <v>Prueba OK</v>
      </c>
      <c r="K860" s="21" t="str">
        <f t="shared" si="41"/>
        <v>OK</v>
      </c>
    </row>
    <row r="861" spans="1:11" x14ac:dyDescent="0.35">
      <c r="A861" s="23">
        <v>46032</v>
      </c>
      <c r="B861" s="19" t="str">
        <f t="shared" si="40"/>
        <v>enero</v>
      </c>
      <c r="C861" s="19" t="str">
        <f t="shared" si="42"/>
        <v>2026</v>
      </c>
      <c r="D861" s="25" t="s">
        <v>206</v>
      </c>
      <c r="E861" s="25" t="s">
        <v>24</v>
      </c>
      <c r="F861" s="25" t="s">
        <v>159</v>
      </c>
      <c r="G861" s="24">
        <v>103</v>
      </c>
      <c r="H861" s="19" t="str">
        <f>IF(LEN(G861)=0,"",VLOOKUP(G861,Issues!A:D,2,FALSE))</f>
        <v>(100)  Alta</v>
      </c>
      <c r="I861" s="20" t="str">
        <f>IF(LEN(G861)=0,"",VLOOKUP(G861,Issues!A:D,3,FALSE))</f>
        <v>Inconsistencia en el welcome.</v>
      </c>
      <c r="J861" s="19" t="str">
        <f>IF(LEN(G861)=0,"",VLOOKUP(G861,Issues!A:D,4,FALSE))</f>
        <v>Critico</v>
      </c>
      <c r="K861" s="21" t="str">
        <f t="shared" si="41"/>
        <v>Issue</v>
      </c>
    </row>
    <row r="862" spans="1:11" x14ac:dyDescent="0.35">
      <c r="A862" s="23">
        <v>46121</v>
      </c>
      <c r="B862" s="19" t="str">
        <f t="shared" si="40"/>
        <v>abril</v>
      </c>
      <c r="C862" s="19" t="str">
        <f t="shared" si="42"/>
        <v>2026</v>
      </c>
      <c r="D862" s="25" t="s">
        <v>207</v>
      </c>
      <c r="E862" s="25" t="s">
        <v>18</v>
      </c>
      <c r="F862" s="25" t="s">
        <v>183</v>
      </c>
      <c r="G862" s="24">
        <v>504</v>
      </c>
      <c r="H862" s="19" t="str">
        <f>IF(LEN(G862)=0,"",VLOOKUP(G862,Issues!A:D,2,FALSE))</f>
        <v>(500) Baja / Cancelacion</v>
      </c>
      <c r="I862" s="20" t="str">
        <f>IF(LEN(G862)=0,"",VLOOKUP(G862,Issues!A:D,3,FALSE))</f>
        <v>No funciona la baja desde la lp.</v>
      </c>
      <c r="J862" s="19" t="str">
        <f>IF(LEN(G862)=0,"",VLOOKUP(G862,Issues!A:D,4,FALSE))</f>
        <v>Critico</v>
      </c>
      <c r="K862" s="21" t="str">
        <f t="shared" si="41"/>
        <v>Issue</v>
      </c>
    </row>
    <row r="863" spans="1:11" x14ac:dyDescent="0.35">
      <c r="A863" s="23">
        <v>46041</v>
      </c>
      <c r="B863" s="19" t="str">
        <f t="shared" si="40"/>
        <v>enero</v>
      </c>
      <c r="C863" s="19" t="str">
        <f t="shared" si="42"/>
        <v>2026</v>
      </c>
      <c r="D863" s="25" t="s">
        <v>206</v>
      </c>
      <c r="E863" s="25" t="s">
        <v>18</v>
      </c>
      <c r="F863" s="25" t="s">
        <v>183</v>
      </c>
      <c r="G863" s="24">
        <v>700</v>
      </c>
      <c r="H863" s="19" t="str">
        <f>IF(LEN(G863)=0,"",VLOOKUP(G863,Issues!A:D,2,FALSE))</f>
        <v>(700) Interaccion MO/MT (On Demand)</v>
      </c>
      <c r="I863" s="20" t="str">
        <f>IF(LEN(G863)=0,"",VLOOKUP(G863,Issues!A:D,3,FALSE))</f>
        <v>Flujo MO/MT con éxito.</v>
      </c>
      <c r="J863" s="19" t="str">
        <f>IF(LEN(G863)=0,"",VLOOKUP(G863,Issues!A:D,4,FALSE))</f>
        <v>Prueba OK</v>
      </c>
      <c r="K863" s="21" t="str">
        <f t="shared" si="41"/>
        <v>OK</v>
      </c>
    </row>
    <row r="864" spans="1:11" x14ac:dyDescent="0.35">
      <c r="A864" s="23">
        <v>46055</v>
      </c>
      <c r="B864" s="19" t="str">
        <f t="shared" si="40"/>
        <v>febrero</v>
      </c>
      <c r="C864" s="19" t="str">
        <f t="shared" si="42"/>
        <v>2026</v>
      </c>
      <c r="D864" s="25" t="s">
        <v>208</v>
      </c>
      <c r="E864" s="25" t="s">
        <v>21</v>
      </c>
      <c r="F864" s="25" t="s">
        <v>192</v>
      </c>
      <c r="G864" s="24">
        <v>307</v>
      </c>
      <c r="H864" s="19" t="str">
        <f>IF(LEN(G864)=0,"",VLOOKUP(G864,Issues!A:D,2,FALSE))</f>
        <v>(300) Cobros</v>
      </c>
      <c r="I864" s="20" t="str">
        <f>IF(LEN(G864)=0,"",VLOOKUP(G864,Issues!A:D,3,FALSE))</f>
        <v>Inconsistencias con el cobro escalonado.</v>
      </c>
      <c r="J864" s="19" t="str">
        <f>IF(LEN(G864)=0,"",VLOOKUP(G864,Issues!A:D,4,FALSE))</f>
        <v>Critico</v>
      </c>
      <c r="K864" s="21" t="str">
        <f t="shared" si="41"/>
        <v>Issue</v>
      </c>
    </row>
    <row r="865" spans="1:11" x14ac:dyDescent="0.35">
      <c r="A865" s="23">
        <v>46109</v>
      </c>
      <c r="B865" s="19" t="str">
        <f t="shared" si="40"/>
        <v>marzo</v>
      </c>
      <c r="C865" s="19" t="str">
        <f t="shared" si="42"/>
        <v>2026</v>
      </c>
      <c r="D865" s="25" t="s">
        <v>206</v>
      </c>
      <c r="E865" s="25" t="s">
        <v>20</v>
      </c>
      <c r="F865" s="25" t="s">
        <v>189</v>
      </c>
      <c r="G865" s="24">
        <v>505</v>
      </c>
      <c r="H865" s="19" t="str">
        <f>IF(LEN(G865)=0,"",VLOOKUP(G865,Issues!A:D,2,FALSE))</f>
        <v>(500) Baja / Cancelacion</v>
      </c>
      <c r="I865" s="20" t="str">
        <f>IF(LEN(G865)=0,"",VLOOKUP(G865,Issues!A:D,3,FALSE))</f>
        <v>No funciona la baja desde tienda.</v>
      </c>
      <c r="J865" s="19" t="str">
        <f>IF(LEN(G865)=0,"",VLOOKUP(G865,Issues!A:D,4,FALSE))</f>
        <v>Critico</v>
      </c>
      <c r="K865" s="21" t="str">
        <f t="shared" si="41"/>
        <v>Issue</v>
      </c>
    </row>
    <row r="866" spans="1:11" x14ac:dyDescent="0.35">
      <c r="A866" s="23">
        <v>46034</v>
      </c>
      <c r="B866" s="19" t="str">
        <f t="shared" si="40"/>
        <v>enero</v>
      </c>
      <c r="C866" s="19" t="str">
        <f t="shared" si="42"/>
        <v>2026</v>
      </c>
      <c r="D866" s="25" t="s">
        <v>207</v>
      </c>
      <c r="E866" s="25" t="s">
        <v>15</v>
      </c>
      <c r="F866" s="25" t="s">
        <v>173</v>
      </c>
      <c r="G866" s="24">
        <v>110</v>
      </c>
      <c r="H866" s="19" t="str">
        <f>IF(LEN(G866)=0,"",VLOOKUP(G866,Issues!A:D,2,FALSE))</f>
        <v>(100)  Alta</v>
      </c>
      <c r="I866" s="20" t="str">
        <f>IF(LEN(G866)=0,"",VLOOKUP(G866,Issues!A:D,3,FALSE))</f>
        <v>Falla en alta a traves de ivr.</v>
      </c>
      <c r="J866" s="19" t="str">
        <f>IF(LEN(G866)=0,"",VLOOKUP(G866,Issues!A:D,4,FALSE))</f>
        <v>Critico</v>
      </c>
      <c r="K866" s="21" t="str">
        <f t="shared" si="41"/>
        <v>Issue</v>
      </c>
    </row>
    <row r="867" spans="1:11" x14ac:dyDescent="0.35">
      <c r="A867" s="23">
        <v>46038</v>
      </c>
      <c r="B867" s="19" t="str">
        <f t="shared" si="40"/>
        <v>enero</v>
      </c>
      <c r="C867" s="19" t="str">
        <f t="shared" si="42"/>
        <v>2026</v>
      </c>
      <c r="D867" s="25" t="s">
        <v>206</v>
      </c>
      <c r="E867" s="25" t="s">
        <v>15</v>
      </c>
      <c r="F867" s="25" t="s">
        <v>173</v>
      </c>
      <c r="G867" s="24">
        <v>207</v>
      </c>
      <c r="H867" s="19" t="str">
        <f>IF(LEN(G867)=0,"",VLOOKUP(G867,Issues!A:D,2,FALSE))</f>
        <v>(200) Contenidos</v>
      </c>
      <c r="I867" s="20" t="str">
        <f>IF(LEN(G867)=0,"",VLOOKUP(G867,Issues!A:D,3,FALSE))</f>
        <v>Contenido repetido.</v>
      </c>
      <c r="J867" s="19" t="str">
        <f>IF(LEN(G867)=0,"",VLOOKUP(G867,Issues!A:D,4,FALSE))</f>
        <v>Medio</v>
      </c>
      <c r="K867" s="21" t="str">
        <f t="shared" si="41"/>
        <v>Issue</v>
      </c>
    </row>
    <row r="868" spans="1:11" x14ac:dyDescent="0.35">
      <c r="A868" s="23">
        <v>46092</v>
      </c>
      <c r="B868" s="19" t="str">
        <f t="shared" si="40"/>
        <v>marzo</v>
      </c>
      <c r="C868" s="19" t="str">
        <f t="shared" si="42"/>
        <v>2026</v>
      </c>
      <c r="D868" s="25" t="s">
        <v>207</v>
      </c>
      <c r="E868" s="25" t="s">
        <v>22</v>
      </c>
      <c r="F868" s="25" t="s">
        <v>150</v>
      </c>
      <c r="G868" s="24">
        <v>409</v>
      </c>
      <c r="H868" s="19" t="str">
        <f>IF(LEN(G868)=0,"",VLOOKUP(G868,Issues!A:D,2,FALSE))</f>
        <v>(400) Portales / Web-App</v>
      </c>
      <c r="I868" s="20" t="str">
        <f>IF(LEN(G868)=0,"",VLOOKUP(G868,Issues!A:D,3,FALSE))</f>
        <v>409 no cumple con caracteristicas de diseño responsive.</v>
      </c>
      <c r="J868" s="19" t="str">
        <f>IF(LEN(G868)=0,"",VLOOKUP(G868,Issues!A:D,4,FALSE))</f>
        <v>Critico</v>
      </c>
      <c r="K868" s="21" t="str">
        <f t="shared" si="41"/>
        <v>Issue</v>
      </c>
    </row>
    <row r="869" spans="1:11" x14ac:dyDescent="0.35">
      <c r="A869" s="23">
        <v>46128</v>
      </c>
      <c r="B869" s="19" t="str">
        <f t="shared" si="40"/>
        <v>abril</v>
      </c>
      <c r="C869" s="19" t="str">
        <f t="shared" si="42"/>
        <v>2026</v>
      </c>
      <c r="D869" s="25" t="s">
        <v>206</v>
      </c>
      <c r="E869" s="25" t="s">
        <v>10</v>
      </c>
      <c r="F869" s="25" t="s">
        <v>161</v>
      </c>
      <c r="G869" s="24">
        <v>208</v>
      </c>
      <c r="H869" s="19" t="str">
        <f>IF(LEN(G869)=0,"",VLOOKUP(G869,Issues!A:D,2,FALSE))</f>
        <v>(200) Contenidos</v>
      </c>
      <c r="I869" s="20" t="str">
        <f>IF(LEN(G869)=0,"",VLOOKUP(G869,Issues!A:D,3,FALSE))</f>
        <v>No cumple las politicas de estructura del operador.</v>
      </c>
      <c r="J869" s="19" t="str">
        <f>IF(LEN(G869)=0,"",VLOOKUP(G869,Issues!A:D,4,FALSE))</f>
        <v>Critico</v>
      </c>
      <c r="K869" s="21" t="str">
        <f t="shared" si="41"/>
        <v>Issue</v>
      </c>
    </row>
    <row r="870" spans="1:11" x14ac:dyDescent="0.35">
      <c r="A870" s="23">
        <v>46154</v>
      </c>
      <c r="B870" s="19" t="str">
        <f t="shared" si="40"/>
        <v>mayo</v>
      </c>
      <c r="C870" s="19" t="str">
        <f t="shared" si="42"/>
        <v>2026</v>
      </c>
      <c r="D870" s="25" t="s">
        <v>207</v>
      </c>
      <c r="E870" s="25" t="s">
        <v>24</v>
      </c>
      <c r="F870" s="25" t="s">
        <v>159</v>
      </c>
      <c r="G870" s="24">
        <v>702</v>
      </c>
      <c r="H870" s="19" t="str">
        <f>IF(LEN(G870)=0,"",VLOOKUP(G870,Issues!A:D,2,FALSE))</f>
        <v>(700) Interaccion MO/MT (On Demand)</v>
      </c>
      <c r="I870" s="20" t="str">
        <f>IF(LEN(G870)=0,"",VLOOKUP(G870,Issues!A:D,3,FALSE))</f>
        <v>No se recibe mt.</v>
      </c>
      <c r="J870" s="19" t="str">
        <f>IF(LEN(G870)=0,"",VLOOKUP(G870,Issues!A:D,4,FALSE))</f>
        <v>Critico</v>
      </c>
      <c r="K870" s="21" t="str">
        <f t="shared" si="41"/>
        <v>Issue</v>
      </c>
    </row>
    <row r="871" spans="1:11" x14ac:dyDescent="0.35">
      <c r="A871" s="23">
        <v>46041</v>
      </c>
      <c r="B871" s="19" t="str">
        <f t="shared" si="40"/>
        <v>enero</v>
      </c>
      <c r="C871" s="19" t="str">
        <f t="shared" si="42"/>
        <v>2026</v>
      </c>
      <c r="D871" s="25" t="s">
        <v>206</v>
      </c>
      <c r="E871" s="25" t="s">
        <v>15</v>
      </c>
      <c r="F871" s="25" t="s">
        <v>173</v>
      </c>
      <c r="G871" s="24">
        <v>703</v>
      </c>
      <c r="H871" s="19" t="str">
        <f>IF(LEN(G871)=0,"",VLOOKUP(G871,Issues!A:D,2,FALSE))</f>
        <v>(700) Interaccion MO/MT (On Demand)</v>
      </c>
      <c r="I871" s="20" t="str">
        <f>IF(LEN(G871)=0,"",VLOOKUP(G871,Issues!A:D,3,FALSE))</f>
        <v>Fallas en la interaccion mo/mt.</v>
      </c>
      <c r="J871" s="19" t="str">
        <f>IF(LEN(G871)=0,"",VLOOKUP(G871,Issues!A:D,4,FALSE))</f>
        <v>Critico</v>
      </c>
      <c r="K871" s="21" t="str">
        <f t="shared" si="41"/>
        <v>Issue</v>
      </c>
    </row>
    <row r="872" spans="1:11" x14ac:dyDescent="0.35">
      <c r="A872" s="23">
        <v>46156</v>
      </c>
      <c r="B872" s="19" t="str">
        <f t="shared" si="40"/>
        <v>mayo</v>
      </c>
      <c r="C872" s="19" t="str">
        <f t="shared" si="42"/>
        <v>2026</v>
      </c>
      <c r="D872" s="25" t="s">
        <v>207</v>
      </c>
      <c r="E872" s="25" t="s">
        <v>14</v>
      </c>
      <c r="F872" s="25" t="s">
        <v>170</v>
      </c>
      <c r="G872" s="24">
        <v>500</v>
      </c>
      <c r="H872" s="19" t="str">
        <f>IF(LEN(G872)=0,"",VLOOKUP(G872,Issues!A:D,2,FALSE))</f>
        <v>(500) Baja / Cancelacion</v>
      </c>
      <c r="I872" s="20" t="str">
        <f>IF(LEN(G872)=0,"",VLOOKUP(G872,Issues!A:D,3,FALSE))</f>
        <v>Baja con éxito.</v>
      </c>
      <c r="J872" s="19" t="str">
        <f>IF(LEN(G872)=0,"",VLOOKUP(G872,Issues!A:D,4,FALSE))</f>
        <v>Prueba OK</v>
      </c>
      <c r="K872" s="21" t="str">
        <f t="shared" si="41"/>
        <v>OK</v>
      </c>
    </row>
    <row r="873" spans="1:11" x14ac:dyDescent="0.35">
      <c r="A873" s="23">
        <v>46145</v>
      </c>
      <c r="B873" s="19" t="str">
        <f t="shared" si="40"/>
        <v>mayo</v>
      </c>
      <c r="C873" s="19" t="str">
        <f t="shared" si="42"/>
        <v>2026</v>
      </c>
      <c r="D873" s="25" t="s">
        <v>207</v>
      </c>
      <c r="E873" s="25" t="s">
        <v>19</v>
      </c>
      <c r="F873" s="25" t="s">
        <v>185</v>
      </c>
      <c r="G873" s="24">
        <v>500</v>
      </c>
      <c r="H873" s="19" t="str">
        <f>IF(LEN(G873)=0,"",VLOOKUP(G873,Issues!A:D,2,FALSE))</f>
        <v>(500) Baja / Cancelacion</v>
      </c>
      <c r="I873" s="20" t="str">
        <f>IF(LEN(G873)=0,"",VLOOKUP(G873,Issues!A:D,3,FALSE))</f>
        <v>Baja con éxito.</v>
      </c>
      <c r="J873" s="19" t="str">
        <f>IF(LEN(G873)=0,"",VLOOKUP(G873,Issues!A:D,4,FALSE))</f>
        <v>Prueba OK</v>
      </c>
      <c r="K873" s="21" t="str">
        <f t="shared" si="41"/>
        <v>OK</v>
      </c>
    </row>
    <row r="874" spans="1:11" x14ac:dyDescent="0.35">
      <c r="A874" s="23">
        <v>46103</v>
      </c>
      <c r="B874" s="19" t="str">
        <f t="shared" si="40"/>
        <v>marzo</v>
      </c>
      <c r="C874" s="19" t="str">
        <f t="shared" si="42"/>
        <v>2026</v>
      </c>
      <c r="D874" s="25" t="s">
        <v>206</v>
      </c>
      <c r="E874" s="25" t="s">
        <v>11</v>
      </c>
      <c r="F874" s="25" t="s">
        <v>164</v>
      </c>
      <c r="G874" s="24">
        <v>404</v>
      </c>
      <c r="H874" s="19" t="str">
        <f>IF(LEN(G874)=0,"",VLOOKUP(G874,Issues!A:D,2,FALSE))</f>
        <v>(400) Portales / Web-App</v>
      </c>
      <c r="I874" s="20" t="str">
        <f>IF(LEN(G874)=0,"",VLOOKUP(G874,Issues!A:D,3,FALSE))</f>
        <v>No cumple las politicas de estructura del operador.</v>
      </c>
      <c r="J874" s="19" t="str">
        <f>IF(LEN(G874)=0,"",VLOOKUP(G874,Issues!A:D,4,FALSE))</f>
        <v>Critico</v>
      </c>
      <c r="K874" s="21" t="str">
        <f t="shared" si="41"/>
        <v>Issue</v>
      </c>
    </row>
    <row r="875" spans="1:11" x14ac:dyDescent="0.35">
      <c r="A875" s="23">
        <v>46033</v>
      </c>
      <c r="B875" s="19" t="str">
        <f t="shared" si="40"/>
        <v>enero</v>
      </c>
      <c r="C875" s="19" t="str">
        <f t="shared" si="42"/>
        <v>2026</v>
      </c>
      <c r="D875" s="25" t="s">
        <v>209</v>
      </c>
      <c r="E875" s="25" t="s">
        <v>13</v>
      </c>
      <c r="F875" s="25" t="s">
        <v>157</v>
      </c>
      <c r="G875" s="24">
        <v>500</v>
      </c>
      <c r="H875" s="19" t="str">
        <f>IF(LEN(G875)=0,"",VLOOKUP(G875,Issues!A:D,2,FALSE))</f>
        <v>(500) Baja / Cancelacion</v>
      </c>
      <c r="I875" s="20" t="str">
        <f>IF(LEN(G875)=0,"",VLOOKUP(G875,Issues!A:D,3,FALSE))</f>
        <v>Baja con éxito.</v>
      </c>
      <c r="J875" s="19" t="str">
        <f>IF(LEN(G875)=0,"",VLOOKUP(G875,Issues!A:D,4,FALSE))</f>
        <v>Prueba OK</v>
      </c>
      <c r="K875" s="21" t="str">
        <f t="shared" si="41"/>
        <v>OK</v>
      </c>
    </row>
    <row r="876" spans="1:11" x14ac:dyDescent="0.35">
      <c r="A876" s="23">
        <v>46091</v>
      </c>
      <c r="B876" s="19" t="str">
        <f t="shared" si="40"/>
        <v>marzo</v>
      </c>
      <c r="C876" s="19" t="str">
        <f t="shared" si="42"/>
        <v>2026</v>
      </c>
      <c r="D876" s="25" t="s">
        <v>204</v>
      </c>
      <c r="E876" s="25" t="s">
        <v>12</v>
      </c>
      <c r="F876" s="25" t="s">
        <v>169</v>
      </c>
      <c r="G876" s="24">
        <v>204</v>
      </c>
      <c r="H876" s="19" t="str">
        <f>IF(LEN(G876)=0,"",VLOOKUP(G876,Issues!A:D,2,FALSE))</f>
        <v>(200) Contenidos</v>
      </c>
      <c r="I876" s="20" t="str">
        <f>IF(LEN(G876)=0,"",VLOOKUP(G876,Issues!A:D,3,FALSE))</f>
        <v>Error/inconsistencia en t&amp;c en sms.</v>
      </c>
      <c r="J876" s="19" t="str">
        <f>IF(LEN(G876)=0,"",VLOOKUP(G876,Issues!A:D,4,FALSE))</f>
        <v>Critico</v>
      </c>
      <c r="K876" s="21" t="str">
        <f t="shared" si="41"/>
        <v>Issue</v>
      </c>
    </row>
    <row r="877" spans="1:11" x14ac:dyDescent="0.35">
      <c r="A877" s="23">
        <v>46157</v>
      </c>
      <c r="B877" s="19" t="str">
        <f t="shared" si="40"/>
        <v>mayo</v>
      </c>
      <c r="C877" s="19" t="str">
        <f t="shared" si="42"/>
        <v>2026</v>
      </c>
      <c r="D877" s="25" t="s">
        <v>208</v>
      </c>
      <c r="E877" s="25" t="s">
        <v>19</v>
      </c>
      <c r="F877" s="25" t="s">
        <v>187</v>
      </c>
      <c r="G877" s="24">
        <v>800</v>
      </c>
      <c r="H877" s="19" t="str">
        <f>IF(LEN(G877)=0,"",VLOOKUP(G877,Issues!A:D,2,FALSE))</f>
        <v>(800) Politicas especiales operadores</v>
      </c>
      <c r="I877" s="20" t="str">
        <f>IF(LEN(G877)=0,"",VLOOKUP(G877,Issues!A:D,3,FALSE))</f>
        <v>Politicas de los operadores cumplidas.</v>
      </c>
      <c r="J877" s="19" t="str">
        <f>IF(LEN(G877)=0,"",VLOOKUP(G877,Issues!A:D,4,FALSE))</f>
        <v>Prueba OK</v>
      </c>
      <c r="K877" s="21" t="str">
        <f t="shared" si="41"/>
        <v>OK</v>
      </c>
    </row>
    <row r="878" spans="1:11" x14ac:dyDescent="0.35">
      <c r="A878" s="23">
        <v>46103</v>
      </c>
      <c r="B878" s="19" t="str">
        <f t="shared" si="40"/>
        <v>marzo</v>
      </c>
      <c r="C878" s="19" t="str">
        <f t="shared" si="42"/>
        <v>2026</v>
      </c>
      <c r="D878" s="25" t="s">
        <v>207</v>
      </c>
      <c r="E878" s="25" t="s">
        <v>22</v>
      </c>
      <c r="F878" s="25" t="s">
        <v>150</v>
      </c>
      <c r="G878" s="24">
        <v>304</v>
      </c>
      <c r="H878" s="19" t="str">
        <f>IF(LEN(G878)=0,"",VLOOKUP(G878,Issues!A:D,2,FALSE))</f>
        <v>(300) Cobros</v>
      </c>
      <c r="I878" s="20" t="str">
        <f>IF(LEN(G878)=0,"",VLOOKUP(G878,Issues!A:D,3,FALSE))</f>
        <v>Cobro valor diferente al autorizado.</v>
      </c>
      <c r="J878" s="19" t="str">
        <f>IF(LEN(G878)=0,"",VLOOKUP(G878,Issues!A:D,4,FALSE))</f>
        <v>Critico</v>
      </c>
      <c r="K878" s="21" t="str">
        <f t="shared" si="41"/>
        <v>Issue</v>
      </c>
    </row>
    <row r="879" spans="1:11" x14ac:dyDescent="0.35">
      <c r="A879" s="23">
        <v>46074</v>
      </c>
      <c r="B879" s="19" t="str">
        <f t="shared" si="40"/>
        <v>febrero</v>
      </c>
      <c r="C879" s="19" t="str">
        <f t="shared" si="42"/>
        <v>2026</v>
      </c>
      <c r="D879" s="25" t="s">
        <v>207</v>
      </c>
      <c r="E879" s="25" t="s">
        <v>18</v>
      </c>
      <c r="F879" s="25" t="s">
        <v>182</v>
      </c>
      <c r="G879" s="24">
        <v>300</v>
      </c>
      <c r="H879" s="19" t="str">
        <f>IF(LEN(G879)=0,"",VLOOKUP(G879,Issues!A:D,2,FALSE))</f>
        <v>(300) Cobros</v>
      </c>
      <c r="I879" s="20" t="str">
        <f>IF(LEN(G879)=0,"",VLOOKUP(G879,Issues!A:D,3,FALSE))</f>
        <v>Cobro en valor y forma correcto.</v>
      </c>
      <c r="J879" s="19" t="str">
        <f>IF(LEN(G879)=0,"",VLOOKUP(G879,Issues!A:D,4,FALSE))</f>
        <v>Prueba OK</v>
      </c>
      <c r="K879" s="21" t="str">
        <f t="shared" si="41"/>
        <v>OK</v>
      </c>
    </row>
    <row r="880" spans="1:11" x14ac:dyDescent="0.35">
      <c r="A880" s="23">
        <v>46144</v>
      </c>
      <c r="B880" s="19" t="str">
        <f t="shared" si="40"/>
        <v>mayo</v>
      </c>
      <c r="C880" s="19" t="str">
        <f t="shared" si="42"/>
        <v>2026</v>
      </c>
      <c r="D880" s="25" t="s">
        <v>206</v>
      </c>
      <c r="E880" s="25" t="s">
        <v>10</v>
      </c>
      <c r="F880" s="25" t="s">
        <v>161</v>
      </c>
      <c r="G880" s="24">
        <v>800</v>
      </c>
      <c r="H880" s="19" t="str">
        <f>IF(LEN(G880)=0,"",VLOOKUP(G880,Issues!A:D,2,FALSE))</f>
        <v>(800) Politicas especiales operadores</v>
      </c>
      <c r="I880" s="20" t="str">
        <f>IF(LEN(G880)=0,"",VLOOKUP(G880,Issues!A:D,3,FALSE))</f>
        <v>Politicas de los operadores cumplidas.</v>
      </c>
      <c r="J880" s="19" t="str">
        <f>IF(LEN(G880)=0,"",VLOOKUP(G880,Issues!A:D,4,FALSE))</f>
        <v>Prueba OK</v>
      </c>
      <c r="K880" s="21" t="str">
        <f t="shared" si="41"/>
        <v>OK</v>
      </c>
    </row>
    <row r="881" spans="1:11" x14ac:dyDescent="0.35">
      <c r="A881" s="23">
        <v>46026</v>
      </c>
      <c r="B881" s="19" t="str">
        <f t="shared" si="40"/>
        <v>enero</v>
      </c>
      <c r="C881" s="19" t="str">
        <f t="shared" si="42"/>
        <v>2026</v>
      </c>
      <c r="D881" s="25" t="s">
        <v>207</v>
      </c>
      <c r="E881" s="25" t="s">
        <v>22</v>
      </c>
      <c r="F881" s="25" t="s">
        <v>154</v>
      </c>
      <c r="G881" s="24">
        <v>200</v>
      </c>
      <c r="H881" s="19" t="str">
        <f>IF(LEN(G881)=0,"",VLOOKUP(G881,Issues!A:D,2,FALSE))</f>
        <v>(200) Contenidos</v>
      </c>
      <c r="I881" s="20" t="str">
        <f>IF(LEN(G881)=0,"",VLOOKUP(G881,Issues!A:D,3,FALSE))</f>
        <v>Contenidos recibido con éxito.</v>
      </c>
      <c r="J881" s="19" t="str">
        <f>IF(LEN(G881)=0,"",VLOOKUP(G881,Issues!A:D,4,FALSE))</f>
        <v>Prueba OK</v>
      </c>
      <c r="K881" s="21" t="str">
        <f t="shared" si="41"/>
        <v>OK</v>
      </c>
    </row>
    <row r="882" spans="1:11" x14ac:dyDescent="0.35">
      <c r="A882" s="23">
        <v>46114</v>
      </c>
      <c r="B882" s="19" t="str">
        <f t="shared" si="40"/>
        <v>abril</v>
      </c>
      <c r="C882" s="19" t="str">
        <f t="shared" si="42"/>
        <v>2026</v>
      </c>
      <c r="D882" s="25" t="s">
        <v>207</v>
      </c>
      <c r="E882" s="25" t="s">
        <v>11</v>
      </c>
      <c r="F882" s="25" t="s">
        <v>166</v>
      </c>
      <c r="G882" s="24">
        <v>701</v>
      </c>
      <c r="H882" s="19" t="str">
        <f>IF(LEN(G882)=0,"",VLOOKUP(G882,Issues!A:D,2,FALSE))</f>
        <v>(700) Interaccion MO/MT (On Demand)</v>
      </c>
      <c r="I882" s="20" t="str">
        <f>IF(LEN(G882)=0,"",VLOOKUP(G882,Issues!A:D,3,FALSE))</f>
        <v>No envia el mo.</v>
      </c>
      <c r="J882" s="19" t="str">
        <f>IF(LEN(G882)=0,"",VLOOKUP(G882,Issues!A:D,4,FALSE))</f>
        <v>Critico</v>
      </c>
      <c r="K882" s="21" t="str">
        <f t="shared" si="41"/>
        <v>Issue</v>
      </c>
    </row>
    <row r="883" spans="1:11" x14ac:dyDescent="0.35">
      <c r="A883" s="23">
        <v>46124</v>
      </c>
      <c r="B883" s="19" t="str">
        <f t="shared" si="40"/>
        <v>abril</v>
      </c>
      <c r="C883" s="19" t="str">
        <f t="shared" si="42"/>
        <v>2026</v>
      </c>
      <c r="D883" s="25" t="s">
        <v>206</v>
      </c>
      <c r="E883" s="25" t="s">
        <v>12</v>
      </c>
      <c r="F883" s="25" t="s">
        <v>169</v>
      </c>
      <c r="G883" s="24">
        <v>302</v>
      </c>
      <c r="H883" s="19" t="str">
        <f>IF(LEN(G883)=0,"",VLOOKUP(G883,Issues!A:D,2,FALSE))</f>
        <v>(300) Cobros</v>
      </c>
      <c r="I883" s="20" t="str">
        <f>IF(LEN(G883)=0,"",VLOOKUP(G883,Issues!A:D,3,FALSE))</f>
        <v>No llego contenido (no hubo cobro).</v>
      </c>
      <c r="J883" s="19" t="str">
        <f>IF(LEN(G883)=0,"",VLOOKUP(G883,Issues!A:D,4,FALSE))</f>
        <v>Critico</v>
      </c>
      <c r="K883" s="21" t="str">
        <f t="shared" si="41"/>
        <v>Issue</v>
      </c>
    </row>
    <row r="884" spans="1:11" x14ac:dyDescent="0.35">
      <c r="A884" s="23">
        <v>46106</v>
      </c>
      <c r="B884" s="19" t="str">
        <f t="shared" si="40"/>
        <v>marzo</v>
      </c>
      <c r="C884" s="19" t="str">
        <f t="shared" si="42"/>
        <v>2026</v>
      </c>
      <c r="D884" s="25" t="s">
        <v>207</v>
      </c>
      <c r="E884" s="25" t="s">
        <v>23</v>
      </c>
      <c r="F884" s="25" t="s">
        <v>194</v>
      </c>
      <c r="G884" s="24">
        <v>101</v>
      </c>
      <c r="H884" s="19" t="str">
        <f>IF(LEN(G884)=0,"",VLOOKUP(G884,Issues!A:D,2,FALSE))</f>
        <v>(100)  Alta</v>
      </c>
      <c r="I884" s="20" t="str">
        <f>IF(LEN(G884)=0,"",VLOOKUP(G884,Issues!A:D,3,FALSE))</f>
        <v>No se genero el alta - no hay respuesta al kw.</v>
      </c>
      <c r="J884" s="19" t="str">
        <f>IF(LEN(G884)=0,"",VLOOKUP(G884,Issues!A:D,4,FALSE))</f>
        <v>Critico</v>
      </c>
      <c r="K884" s="21" t="str">
        <f t="shared" si="41"/>
        <v>Issue</v>
      </c>
    </row>
    <row r="885" spans="1:11" x14ac:dyDescent="0.35">
      <c r="A885" s="23">
        <v>46114</v>
      </c>
      <c r="B885" s="19" t="str">
        <f t="shared" si="40"/>
        <v>abril</v>
      </c>
      <c r="C885" s="19" t="str">
        <f t="shared" si="42"/>
        <v>2026</v>
      </c>
      <c r="D885" s="25" t="s">
        <v>206</v>
      </c>
      <c r="E885" s="25" t="s">
        <v>21</v>
      </c>
      <c r="F885" s="25" t="s">
        <v>193</v>
      </c>
      <c r="G885" s="24">
        <v>300</v>
      </c>
      <c r="H885" s="19" t="str">
        <f>IF(LEN(G885)=0,"",VLOOKUP(G885,Issues!A:D,2,FALSE))</f>
        <v>(300) Cobros</v>
      </c>
      <c r="I885" s="20" t="str">
        <f>IF(LEN(G885)=0,"",VLOOKUP(G885,Issues!A:D,3,FALSE))</f>
        <v>Cobro en valor y forma correcto.</v>
      </c>
      <c r="J885" s="19" t="str">
        <f>IF(LEN(G885)=0,"",VLOOKUP(G885,Issues!A:D,4,FALSE))</f>
        <v>Prueba OK</v>
      </c>
      <c r="K885" s="21" t="str">
        <f t="shared" si="41"/>
        <v>OK</v>
      </c>
    </row>
    <row r="886" spans="1:11" x14ac:dyDescent="0.35">
      <c r="A886" s="23">
        <v>46135</v>
      </c>
      <c r="B886" s="19" t="str">
        <f t="shared" si="40"/>
        <v>abril</v>
      </c>
      <c r="C886" s="19" t="str">
        <f t="shared" si="42"/>
        <v>2026</v>
      </c>
      <c r="D886" s="25" t="s">
        <v>206</v>
      </c>
      <c r="E886" s="25" t="s">
        <v>21</v>
      </c>
      <c r="F886" s="25" t="s">
        <v>192</v>
      </c>
      <c r="G886" s="24">
        <v>800</v>
      </c>
      <c r="H886" s="19" t="str">
        <f>IF(LEN(G886)=0,"",VLOOKUP(G886,Issues!A:D,2,FALSE))</f>
        <v>(800) Politicas especiales operadores</v>
      </c>
      <c r="I886" s="20" t="str">
        <f>IF(LEN(G886)=0,"",VLOOKUP(G886,Issues!A:D,3,FALSE))</f>
        <v>Politicas de los operadores cumplidas.</v>
      </c>
      <c r="J886" s="19" t="str">
        <f>IF(LEN(G886)=0,"",VLOOKUP(G886,Issues!A:D,4,FALSE))</f>
        <v>Prueba OK</v>
      </c>
      <c r="K886" s="21" t="str">
        <f t="shared" si="41"/>
        <v>OK</v>
      </c>
    </row>
    <row r="887" spans="1:11" x14ac:dyDescent="0.35">
      <c r="A887" s="23">
        <v>46082</v>
      </c>
      <c r="B887" s="19" t="str">
        <f t="shared" si="40"/>
        <v>marzo</v>
      </c>
      <c r="C887" s="19" t="str">
        <f t="shared" si="42"/>
        <v>2026</v>
      </c>
      <c r="D887" s="25" t="s">
        <v>207</v>
      </c>
      <c r="E887" s="25" t="s">
        <v>15</v>
      </c>
      <c r="F887" s="25" t="s">
        <v>175</v>
      </c>
      <c r="G887" s="24">
        <v>500</v>
      </c>
      <c r="H887" s="19" t="str">
        <f>IF(LEN(G887)=0,"",VLOOKUP(G887,Issues!A:D,2,FALSE))</f>
        <v>(500) Baja / Cancelacion</v>
      </c>
      <c r="I887" s="20" t="str">
        <f>IF(LEN(G887)=0,"",VLOOKUP(G887,Issues!A:D,3,FALSE))</f>
        <v>Baja con éxito.</v>
      </c>
      <c r="J887" s="19" t="str">
        <f>IF(LEN(G887)=0,"",VLOOKUP(G887,Issues!A:D,4,FALSE))</f>
        <v>Prueba OK</v>
      </c>
      <c r="K887" s="21" t="str">
        <f t="shared" si="41"/>
        <v>OK</v>
      </c>
    </row>
    <row r="888" spans="1:11" x14ac:dyDescent="0.35">
      <c r="A888" s="23">
        <v>46144</v>
      </c>
      <c r="B888" s="19" t="str">
        <f t="shared" si="40"/>
        <v>mayo</v>
      </c>
      <c r="C888" s="19" t="str">
        <f t="shared" si="42"/>
        <v>2026</v>
      </c>
      <c r="D888" s="25" t="s">
        <v>206</v>
      </c>
      <c r="E888" s="25" t="s">
        <v>16</v>
      </c>
      <c r="F888" s="25" t="s">
        <v>177</v>
      </c>
      <c r="G888" s="24">
        <v>704</v>
      </c>
      <c r="H888" s="19" t="str">
        <f>IF(LEN(G888)=0,"",VLOOKUP(G888,Issues!A:D,2,FALSE))</f>
        <v>(700) Interaccion MO/MT (On Demand)</v>
      </c>
      <c r="I888" s="20" t="str">
        <f>IF(LEN(G888)=0,"",VLOOKUP(G888,Issues!A:D,3,FALSE))</f>
        <v>Fallas en puntajes, trivias, creditos, etc.</v>
      </c>
      <c r="J888" s="19" t="str">
        <f>IF(LEN(G888)=0,"",VLOOKUP(G888,Issues!A:D,4,FALSE))</f>
        <v>Critico</v>
      </c>
      <c r="K888" s="21" t="str">
        <f t="shared" si="41"/>
        <v>Issue</v>
      </c>
    </row>
    <row r="889" spans="1:11" x14ac:dyDescent="0.35">
      <c r="A889" s="23">
        <v>46031</v>
      </c>
      <c r="B889" s="19" t="str">
        <f t="shared" si="40"/>
        <v>enero</v>
      </c>
      <c r="C889" s="19" t="str">
        <f t="shared" si="42"/>
        <v>2026</v>
      </c>
      <c r="D889" s="25" t="s">
        <v>206</v>
      </c>
      <c r="E889" s="25" t="s">
        <v>14</v>
      </c>
      <c r="F889" s="25" t="s">
        <v>170</v>
      </c>
      <c r="G889" s="24">
        <v>100</v>
      </c>
      <c r="H889" s="19" t="str">
        <f>IF(LEN(G889)=0,"",VLOOKUP(G889,Issues!A:D,2,FALSE))</f>
        <v>(100)  Alta</v>
      </c>
      <c r="I889" s="20" t="str">
        <f>IF(LEN(G889)=0,"",VLOOKUP(G889,Issues!A:D,3,FALSE))</f>
        <v>Alta con éxito.</v>
      </c>
      <c r="J889" s="19" t="str">
        <f>IF(LEN(G889)=0,"",VLOOKUP(G889,Issues!A:D,4,FALSE))</f>
        <v>Prueba OK</v>
      </c>
      <c r="K889" s="21" t="str">
        <f t="shared" si="41"/>
        <v>OK</v>
      </c>
    </row>
    <row r="890" spans="1:11" x14ac:dyDescent="0.35">
      <c r="A890" s="23">
        <v>46110</v>
      </c>
      <c r="B890" s="19" t="str">
        <f t="shared" si="40"/>
        <v>marzo</v>
      </c>
      <c r="C890" s="19" t="str">
        <f t="shared" si="42"/>
        <v>2026</v>
      </c>
      <c r="D890" s="25" t="s">
        <v>206</v>
      </c>
      <c r="E890" s="25" t="s">
        <v>16</v>
      </c>
      <c r="F890" s="25" t="s">
        <v>178</v>
      </c>
      <c r="G890" s="24">
        <v>200</v>
      </c>
      <c r="H890" s="19" t="str">
        <f>IF(LEN(G890)=0,"",VLOOKUP(G890,Issues!A:D,2,FALSE))</f>
        <v>(200) Contenidos</v>
      </c>
      <c r="I890" s="20" t="str">
        <f>IF(LEN(G890)=0,"",VLOOKUP(G890,Issues!A:D,3,FALSE))</f>
        <v>Contenidos recibido con éxito.</v>
      </c>
      <c r="J890" s="19" t="str">
        <f>IF(LEN(G890)=0,"",VLOOKUP(G890,Issues!A:D,4,FALSE))</f>
        <v>Prueba OK</v>
      </c>
      <c r="K890" s="21" t="str">
        <f t="shared" si="41"/>
        <v>OK</v>
      </c>
    </row>
    <row r="891" spans="1:11" x14ac:dyDescent="0.35">
      <c r="A891" s="23">
        <v>46045</v>
      </c>
      <c r="B891" s="19" t="str">
        <f t="shared" si="40"/>
        <v>enero</v>
      </c>
      <c r="C891" s="19" t="str">
        <f t="shared" si="42"/>
        <v>2026</v>
      </c>
      <c r="D891" s="25" t="s">
        <v>206</v>
      </c>
      <c r="E891" s="25" t="s">
        <v>26</v>
      </c>
      <c r="F891" s="25" t="s">
        <v>152</v>
      </c>
      <c r="G891" s="24">
        <v>505</v>
      </c>
      <c r="H891" s="19" t="str">
        <f>IF(LEN(G891)=0,"",VLOOKUP(G891,Issues!A:D,2,FALSE))</f>
        <v>(500) Baja / Cancelacion</v>
      </c>
      <c r="I891" s="20" t="str">
        <f>IF(LEN(G891)=0,"",VLOOKUP(G891,Issues!A:D,3,FALSE))</f>
        <v>No funciona la baja desde tienda.</v>
      </c>
      <c r="J891" s="19" t="str">
        <f>IF(LEN(G891)=0,"",VLOOKUP(G891,Issues!A:D,4,FALSE))</f>
        <v>Critico</v>
      </c>
      <c r="K891" s="21" t="str">
        <f t="shared" si="41"/>
        <v>Issue</v>
      </c>
    </row>
    <row r="892" spans="1:11" x14ac:dyDescent="0.35">
      <c r="A892" s="23">
        <v>46101</v>
      </c>
      <c r="B892" s="19" t="str">
        <f t="shared" si="40"/>
        <v>marzo</v>
      </c>
      <c r="C892" s="19" t="str">
        <f t="shared" si="42"/>
        <v>2026</v>
      </c>
      <c r="D892" s="25" t="s">
        <v>206</v>
      </c>
      <c r="E892" s="25" t="s">
        <v>17</v>
      </c>
      <c r="F892" s="25" t="s">
        <v>179</v>
      </c>
      <c r="G892" s="24">
        <v>304</v>
      </c>
      <c r="H892" s="19" t="str">
        <f>IF(LEN(G892)=0,"",VLOOKUP(G892,Issues!A:D,2,FALSE))</f>
        <v>(300) Cobros</v>
      </c>
      <c r="I892" s="20" t="str">
        <f>IF(LEN(G892)=0,"",VLOOKUP(G892,Issues!A:D,3,FALSE))</f>
        <v>Cobro valor diferente al autorizado.</v>
      </c>
      <c r="J892" s="19" t="str">
        <f>IF(LEN(G892)=0,"",VLOOKUP(G892,Issues!A:D,4,FALSE))</f>
        <v>Critico</v>
      </c>
      <c r="K892" s="21" t="str">
        <f t="shared" si="41"/>
        <v>Issue</v>
      </c>
    </row>
    <row r="893" spans="1:11" x14ac:dyDescent="0.35">
      <c r="A893" s="23">
        <v>46122</v>
      </c>
      <c r="B893" s="19" t="str">
        <f t="shared" si="40"/>
        <v>abril</v>
      </c>
      <c r="C893" s="19" t="str">
        <f t="shared" si="42"/>
        <v>2026</v>
      </c>
      <c r="D893" s="25" t="s">
        <v>206</v>
      </c>
      <c r="E893" s="25" t="s">
        <v>22</v>
      </c>
      <c r="F893" s="25" t="s">
        <v>158</v>
      </c>
      <c r="G893" s="24">
        <v>100</v>
      </c>
      <c r="H893" s="19" t="str">
        <f>IF(LEN(G893)=0,"",VLOOKUP(G893,Issues!A:D,2,FALSE))</f>
        <v>(100)  Alta</v>
      </c>
      <c r="I893" s="20" t="str">
        <f>IF(LEN(G893)=0,"",VLOOKUP(G893,Issues!A:D,3,FALSE))</f>
        <v>Alta con éxito.</v>
      </c>
      <c r="J893" s="19" t="str">
        <f>IF(LEN(G893)=0,"",VLOOKUP(G893,Issues!A:D,4,FALSE))</f>
        <v>Prueba OK</v>
      </c>
      <c r="K893" s="21" t="str">
        <f t="shared" si="41"/>
        <v>OK</v>
      </c>
    </row>
    <row r="894" spans="1:11" x14ac:dyDescent="0.35">
      <c r="A894" s="23">
        <v>46128</v>
      </c>
      <c r="B894" s="19" t="str">
        <f t="shared" si="40"/>
        <v>abril</v>
      </c>
      <c r="C894" s="19" t="str">
        <f t="shared" si="42"/>
        <v>2026</v>
      </c>
      <c r="D894" s="25" t="s">
        <v>207</v>
      </c>
      <c r="E894" s="25" t="s">
        <v>13</v>
      </c>
      <c r="F894" s="25" t="s">
        <v>149</v>
      </c>
      <c r="G894" s="24">
        <v>200</v>
      </c>
      <c r="H894" s="19" t="str">
        <f>IF(LEN(G894)=0,"",VLOOKUP(G894,Issues!A:D,2,FALSE))</f>
        <v>(200) Contenidos</v>
      </c>
      <c r="I894" s="20" t="str">
        <f>IF(LEN(G894)=0,"",VLOOKUP(G894,Issues!A:D,3,FALSE))</f>
        <v>Contenidos recibido con éxito.</v>
      </c>
      <c r="J894" s="19" t="str">
        <f>IF(LEN(G894)=0,"",VLOOKUP(G894,Issues!A:D,4,FALSE))</f>
        <v>Prueba OK</v>
      </c>
      <c r="K894" s="21" t="str">
        <f t="shared" si="41"/>
        <v>OK</v>
      </c>
    </row>
    <row r="895" spans="1:11" x14ac:dyDescent="0.35">
      <c r="A895" s="23">
        <v>46051</v>
      </c>
      <c r="B895" s="19" t="str">
        <f t="shared" si="40"/>
        <v>enero</v>
      </c>
      <c r="C895" s="19" t="str">
        <f t="shared" si="42"/>
        <v>2026</v>
      </c>
      <c r="D895" s="25" t="s">
        <v>206</v>
      </c>
      <c r="E895" s="25" t="s">
        <v>15</v>
      </c>
      <c r="F895" s="25" t="s">
        <v>174</v>
      </c>
      <c r="G895" s="24">
        <v>500</v>
      </c>
      <c r="H895" s="19" t="str">
        <f>IF(LEN(G895)=0,"",VLOOKUP(G895,Issues!A:D,2,FALSE))</f>
        <v>(500) Baja / Cancelacion</v>
      </c>
      <c r="I895" s="20" t="str">
        <f>IF(LEN(G895)=0,"",VLOOKUP(G895,Issues!A:D,3,FALSE))</f>
        <v>Baja con éxito.</v>
      </c>
      <c r="J895" s="19" t="str">
        <f>IF(LEN(G895)=0,"",VLOOKUP(G895,Issues!A:D,4,FALSE))</f>
        <v>Prueba OK</v>
      </c>
      <c r="K895" s="21" t="str">
        <f t="shared" si="41"/>
        <v>OK</v>
      </c>
    </row>
    <row r="896" spans="1:11" x14ac:dyDescent="0.35">
      <c r="A896" s="23">
        <v>46041</v>
      </c>
      <c r="B896" s="19" t="str">
        <f t="shared" si="40"/>
        <v>enero</v>
      </c>
      <c r="C896" s="19" t="str">
        <f t="shared" si="42"/>
        <v>2026</v>
      </c>
      <c r="D896" s="25" t="s">
        <v>206</v>
      </c>
      <c r="E896" s="25" t="s">
        <v>23</v>
      </c>
      <c r="F896" s="25" t="s">
        <v>196</v>
      </c>
      <c r="G896" s="24">
        <v>404</v>
      </c>
      <c r="H896" s="19" t="str">
        <f>IF(LEN(G896)=0,"",VLOOKUP(G896,Issues!A:D,2,FALSE))</f>
        <v>(400) Portales / Web-App</v>
      </c>
      <c r="I896" s="20" t="str">
        <f>IF(LEN(G896)=0,"",VLOOKUP(G896,Issues!A:D,3,FALSE))</f>
        <v>No cumple las politicas de estructura del operador.</v>
      </c>
      <c r="J896" s="19" t="str">
        <f>IF(LEN(G896)=0,"",VLOOKUP(G896,Issues!A:D,4,FALSE))</f>
        <v>Critico</v>
      </c>
      <c r="K896" s="21" t="str">
        <f t="shared" si="41"/>
        <v>Issue</v>
      </c>
    </row>
    <row r="897" spans="1:11" x14ac:dyDescent="0.35">
      <c r="A897" s="23">
        <v>46078</v>
      </c>
      <c r="B897" s="19" t="str">
        <f t="shared" si="40"/>
        <v>febrero</v>
      </c>
      <c r="C897" s="19" t="str">
        <f t="shared" si="42"/>
        <v>2026</v>
      </c>
      <c r="D897" s="25" t="s">
        <v>206</v>
      </c>
      <c r="E897" s="25" t="s">
        <v>25</v>
      </c>
      <c r="F897" s="25" t="s">
        <v>199</v>
      </c>
      <c r="G897" s="24">
        <v>209</v>
      </c>
      <c r="H897" s="19" t="str">
        <f>IF(LEN(G897)=0,"",VLOOKUP(G897,Issues!A:D,2,FALSE))</f>
        <v>(200) Contenidos</v>
      </c>
      <c r="I897" s="20" t="str">
        <f>IF(LEN(G897)=0,"",VLOOKUP(G897,Issues!A:D,3,FALSE))</f>
        <v>Contenido desactualizado.</v>
      </c>
      <c r="J897" s="19" t="str">
        <f>IF(LEN(G897)=0,"",VLOOKUP(G897,Issues!A:D,4,FALSE))</f>
        <v>Medio</v>
      </c>
      <c r="K897" s="21" t="str">
        <f t="shared" si="41"/>
        <v>Issue</v>
      </c>
    </row>
    <row r="898" spans="1:11" x14ac:dyDescent="0.35">
      <c r="A898" s="23">
        <v>46110</v>
      </c>
      <c r="B898" s="19" t="str">
        <f t="shared" si="40"/>
        <v>marzo</v>
      </c>
      <c r="C898" s="19" t="str">
        <f t="shared" si="42"/>
        <v>2026</v>
      </c>
      <c r="D898" s="25" t="s">
        <v>207</v>
      </c>
      <c r="E898" s="25" t="s">
        <v>26</v>
      </c>
      <c r="F898" s="25" t="s">
        <v>156</v>
      </c>
      <c r="G898" s="24">
        <v>700</v>
      </c>
      <c r="H898" s="19" t="str">
        <f>IF(LEN(G898)=0,"",VLOOKUP(G898,Issues!A:D,2,FALSE))</f>
        <v>(700) Interaccion MO/MT (On Demand)</v>
      </c>
      <c r="I898" s="20" t="str">
        <f>IF(LEN(G898)=0,"",VLOOKUP(G898,Issues!A:D,3,FALSE))</f>
        <v>Flujo MO/MT con éxito.</v>
      </c>
      <c r="J898" s="19" t="str">
        <f>IF(LEN(G898)=0,"",VLOOKUP(G898,Issues!A:D,4,FALSE))</f>
        <v>Prueba OK</v>
      </c>
      <c r="K898" s="21" t="str">
        <f t="shared" si="41"/>
        <v>OK</v>
      </c>
    </row>
    <row r="899" spans="1:11" x14ac:dyDescent="0.35">
      <c r="A899" s="23">
        <v>46029</v>
      </c>
      <c r="B899" s="19" t="str">
        <f t="shared" ref="B899:B962" si="43">IF(LEN(A899)=0,"",TEXT(A899,"mmmm"))</f>
        <v>enero</v>
      </c>
      <c r="C899" s="19" t="str">
        <f t="shared" si="42"/>
        <v>2026</v>
      </c>
      <c r="D899" s="25" t="s">
        <v>208</v>
      </c>
      <c r="E899" s="25" t="s">
        <v>23</v>
      </c>
      <c r="F899" s="25" t="s">
        <v>194</v>
      </c>
      <c r="G899" s="24">
        <v>700</v>
      </c>
      <c r="H899" s="19" t="str">
        <f>IF(LEN(G899)=0,"",VLOOKUP(G899,Issues!A:D,2,FALSE))</f>
        <v>(700) Interaccion MO/MT (On Demand)</v>
      </c>
      <c r="I899" s="20" t="str">
        <f>IF(LEN(G899)=0,"",VLOOKUP(G899,Issues!A:D,3,FALSE))</f>
        <v>Flujo MO/MT con éxito.</v>
      </c>
      <c r="J899" s="19" t="str">
        <f>IF(LEN(G899)=0,"",VLOOKUP(G899,Issues!A:D,4,FALSE))</f>
        <v>Prueba OK</v>
      </c>
      <c r="K899" s="21" t="str">
        <f t="shared" ref="K899:K962" si="44">IF(LEN(G899)=0,"",IF(OR(J899="critico",J899="Medio",J899="Bajo"),"Issue",IF(J899="Prueba OK","OK","")))</f>
        <v>OK</v>
      </c>
    </row>
    <row r="900" spans="1:11" x14ac:dyDescent="0.35">
      <c r="A900" s="23">
        <v>46131</v>
      </c>
      <c r="B900" s="19" t="str">
        <f t="shared" si="43"/>
        <v>abril</v>
      </c>
      <c r="C900" s="19" t="str">
        <f t="shared" si="42"/>
        <v>2026</v>
      </c>
      <c r="D900" s="25" t="s">
        <v>207</v>
      </c>
      <c r="E900" s="25" t="s">
        <v>24</v>
      </c>
      <c r="F900" s="25" t="s">
        <v>151</v>
      </c>
      <c r="G900" s="24">
        <v>107</v>
      </c>
      <c r="H900" s="19" t="str">
        <f>IF(LEN(G900)=0,"",VLOOKUP(G900,Issues!A:D,2,FALSE))</f>
        <v>(100)  Alta</v>
      </c>
      <c r="I900" s="20" t="str">
        <f>IF(LEN(G900)=0,"",VLOOKUP(G900,Issues!A:D,3,FALSE))</f>
        <v>Falla en lp de suscripción wap - header enrichment.</v>
      </c>
      <c r="J900" s="19" t="str">
        <f>IF(LEN(G900)=0,"",VLOOKUP(G900,Issues!A:D,4,FALSE))</f>
        <v>Critico</v>
      </c>
      <c r="K900" s="21" t="str">
        <f t="shared" si="44"/>
        <v>Issue</v>
      </c>
    </row>
    <row r="901" spans="1:11" x14ac:dyDescent="0.35">
      <c r="A901" s="23">
        <v>46108</v>
      </c>
      <c r="B901" s="19" t="str">
        <f t="shared" si="43"/>
        <v>marzo</v>
      </c>
      <c r="C901" s="19" t="str">
        <f t="shared" si="42"/>
        <v>2026</v>
      </c>
      <c r="D901" s="25" t="s">
        <v>206</v>
      </c>
      <c r="E901" s="25" t="s">
        <v>12</v>
      </c>
      <c r="F901" s="25" t="s">
        <v>167</v>
      </c>
      <c r="G901" s="24">
        <v>300</v>
      </c>
      <c r="H901" s="19" t="str">
        <f>IF(LEN(G901)=0,"",VLOOKUP(G901,Issues!A:D,2,FALSE))</f>
        <v>(300) Cobros</v>
      </c>
      <c r="I901" s="20" t="str">
        <f>IF(LEN(G901)=0,"",VLOOKUP(G901,Issues!A:D,3,FALSE))</f>
        <v>Cobro en valor y forma correcto.</v>
      </c>
      <c r="J901" s="19" t="str">
        <f>IF(LEN(G901)=0,"",VLOOKUP(G901,Issues!A:D,4,FALSE))</f>
        <v>Prueba OK</v>
      </c>
      <c r="K901" s="21" t="str">
        <f t="shared" si="44"/>
        <v>OK</v>
      </c>
    </row>
    <row r="902" spans="1:11" x14ac:dyDescent="0.35">
      <c r="A902" s="23">
        <v>46067</v>
      </c>
      <c r="B902" s="19" t="str">
        <f t="shared" si="43"/>
        <v>febrero</v>
      </c>
      <c r="C902" s="19" t="str">
        <f t="shared" si="42"/>
        <v>2026</v>
      </c>
      <c r="D902" s="25" t="s">
        <v>206</v>
      </c>
      <c r="E902" s="25" t="s">
        <v>15</v>
      </c>
      <c r="F902" s="25" t="s">
        <v>174</v>
      </c>
      <c r="G902" s="24">
        <v>402</v>
      </c>
      <c r="H902" s="19" t="str">
        <f>IF(LEN(G902)=0,"",VLOOKUP(G902,Issues!A:D,2,FALSE))</f>
        <v>(400) Portales / Web-App</v>
      </c>
      <c r="I902" s="20" t="str">
        <f>IF(LEN(G902)=0,"",VLOOKUP(G902,Issues!A:D,3,FALSE))</f>
        <v>Portal / web-app caida.</v>
      </c>
      <c r="J902" s="19" t="str">
        <f>IF(LEN(G902)=0,"",VLOOKUP(G902,Issues!A:D,4,FALSE))</f>
        <v>Critico</v>
      </c>
      <c r="K902" s="21" t="str">
        <f t="shared" si="44"/>
        <v>Issue</v>
      </c>
    </row>
    <row r="903" spans="1:11" x14ac:dyDescent="0.35">
      <c r="A903" s="23">
        <v>46072</v>
      </c>
      <c r="B903" s="19" t="str">
        <f t="shared" si="43"/>
        <v>febrero</v>
      </c>
      <c r="C903" s="19" t="str">
        <f t="shared" si="42"/>
        <v>2026</v>
      </c>
      <c r="D903" s="25" t="s">
        <v>207</v>
      </c>
      <c r="E903" s="25" t="s">
        <v>27</v>
      </c>
      <c r="F903" s="25" t="s">
        <v>200</v>
      </c>
      <c r="G903" s="24">
        <v>100</v>
      </c>
      <c r="H903" s="19" t="str">
        <f>IF(LEN(G903)=0,"",VLOOKUP(G903,Issues!A:D,2,FALSE))</f>
        <v>(100)  Alta</v>
      </c>
      <c r="I903" s="20" t="str">
        <f>IF(LEN(G903)=0,"",VLOOKUP(G903,Issues!A:D,3,FALSE))</f>
        <v>Alta con éxito.</v>
      </c>
      <c r="J903" s="19" t="str">
        <f>IF(LEN(G903)=0,"",VLOOKUP(G903,Issues!A:D,4,FALSE))</f>
        <v>Prueba OK</v>
      </c>
      <c r="K903" s="21" t="str">
        <f t="shared" si="44"/>
        <v>OK</v>
      </c>
    </row>
    <row r="904" spans="1:11" x14ac:dyDescent="0.35">
      <c r="A904" s="23">
        <v>46072</v>
      </c>
      <c r="B904" s="19" t="str">
        <f t="shared" si="43"/>
        <v>febrero</v>
      </c>
      <c r="C904" s="19" t="str">
        <f t="shared" si="42"/>
        <v>2026</v>
      </c>
      <c r="D904" s="25" t="s">
        <v>207</v>
      </c>
      <c r="E904" s="25" t="s">
        <v>10</v>
      </c>
      <c r="F904" s="25" t="s">
        <v>161</v>
      </c>
      <c r="G904" s="24">
        <v>406</v>
      </c>
      <c r="H904" s="19" t="str">
        <f>IF(LEN(G904)=0,"",VLOOKUP(G904,Issues!A:D,2,FALSE))</f>
        <v>(400) Portales / Web-App</v>
      </c>
      <c r="I904" s="20" t="str">
        <f>IF(LEN(G904)=0,"",VLOOKUP(G904,Issues!A:D,3,FALSE))</f>
        <v>No descarga contenidos - problemas con la descarga.</v>
      </c>
      <c r="J904" s="19" t="str">
        <f>IF(LEN(G904)=0,"",VLOOKUP(G904,Issues!A:D,4,FALSE))</f>
        <v>Critico</v>
      </c>
      <c r="K904" s="21" t="str">
        <f t="shared" si="44"/>
        <v>Issue</v>
      </c>
    </row>
    <row r="905" spans="1:11" x14ac:dyDescent="0.35">
      <c r="A905" s="23">
        <v>46105</v>
      </c>
      <c r="B905" s="19" t="str">
        <f t="shared" si="43"/>
        <v>marzo</v>
      </c>
      <c r="C905" s="19" t="str">
        <f t="shared" si="42"/>
        <v>2026</v>
      </c>
      <c r="D905" s="25" t="s">
        <v>207</v>
      </c>
      <c r="E905" s="25" t="s">
        <v>20</v>
      </c>
      <c r="F905" s="25" t="s">
        <v>189</v>
      </c>
      <c r="G905" s="24">
        <v>502</v>
      </c>
      <c r="H905" s="19" t="str">
        <f>IF(LEN(G905)=0,"",VLOOKUP(G905,Issues!A:D,2,FALSE))</f>
        <v>(500) Baja / Cancelacion</v>
      </c>
      <c r="I905" s="20" t="str">
        <f>IF(LEN(G905)=0,"",VLOOKUP(G905,Issues!A:D,3,FALSE))</f>
        <v>No entrega el mt de baja.</v>
      </c>
      <c r="J905" s="19" t="str">
        <f>IF(LEN(G905)=0,"",VLOOKUP(G905,Issues!A:D,4,FALSE))</f>
        <v>Critico</v>
      </c>
      <c r="K905" s="21" t="str">
        <f t="shared" si="44"/>
        <v>Issue</v>
      </c>
    </row>
    <row r="906" spans="1:11" x14ac:dyDescent="0.35">
      <c r="A906" s="23">
        <v>46075</v>
      </c>
      <c r="B906" s="19" t="str">
        <f t="shared" si="43"/>
        <v>febrero</v>
      </c>
      <c r="C906" s="19" t="str">
        <f t="shared" si="42"/>
        <v>2026</v>
      </c>
      <c r="D906" s="25" t="s">
        <v>208</v>
      </c>
      <c r="E906" s="25" t="s">
        <v>21</v>
      </c>
      <c r="F906" s="25" t="s">
        <v>192</v>
      </c>
      <c r="G906" s="24">
        <v>208</v>
      </c>
      <c r="H906" s="19" t="str">
        <f>IF(LEN(G906)=0,"",VLOOKUP(G906,Issues!A:D,2,FALSE))</f>
        <v>(200) Contenidos</v>
      </c>
      <c r="I906" s="20" t="str">
        <f>IF(LEN(G906)=0,"",VLOOKUP(G906,Issues!A:D,3,FALSE))</f>
        <v>No cumple las politicas de estructura del operador.</v>
      </c>
      <c r="J906" s="19" t="str">
        <f>IF(LEN(G906)=0,"",VLOOKUP(G906,Issues!A:D,4,FALSE))</f>
        <v>Critico</v>
      </c>
      <c r="K906" s="21" t="str">
        <f t="shared" si="44"/>
        <v>Issue</v>
      </c>
    </row>
    <row r="907" spans="1:11" x14ac:dyDescent="0.35">
      <c r="A907" s="23">
        <v>46055</v>
      </c>
      <c r="B907" s="19" t="str">
        <f t="shared" si="43"/>
        <v>febrero</v>
      </c>
      <c r="C907" s="19" t="str">
        <f t="shared" si="42"/>
        <v>2026</v>
      </c>
      <c r="D907" s="25" t="s">
        <v>207</v>
      </c>
      <c r="E907" s="25" t="s">
        <v>14</v>
      </c>
      <c r="F907" s="25" t="s">
        <v>172</v>
      </c>
      <c r="G907" s="24">
        <v>408</v>
      </c>
      <c r="H907" s="19" t="str">
        <f>IF(LEN(G907)=0,"",VLOOKUP(G907,Issues!A:D,2,FALSE))</f>
        <v>(400) Portales / Web-App</v>
      </c>
      <c r="I907" s="20" t="str">
        <f>IF(LEN(G907)=0,"",VLOOKUP(G907,Issues!A:D,3,FALSE))</f>
        <v>Inconsistencias en los t&amp;c del portal / web-app.</v>
      </c>
      <c r="J907" s="19" t="str">
        <f>IF(LEN(G907)=0,"",VLOOKUP(G907,Issues!A:D,4,FALSE))</f>
        <v>Critico</v>
      </c>
      <c r="K907" s="21" t="str">
        <f t="shared" si="44"/>
        <v>Issue</v>
      </c>
    </row>
    <row r="908" spans="1:11" x14ac:dyDescent="0.35">
      <c r="A908" s="23">
        <v>46080</v>
      </c>
      <c r="B908" s="19" t="str">
        <f t="shared" si="43"/>
        <v>febrero</v>
      </c>
      <c r="C908" s="19" t="str">
        <f t="shared" si="42"/>
        <v>2026</v>
      </c>
      <c r="D908" s="25" t="s">
        <v>206</v>
      </c>
      <c r="E908" s="25" t="s">
        <v>13</v>
      </c>
      <c r="F908" s="25" t="s">
        <v>157</v>
      </c>
      <c r="G908" s="24">
        <v>700</v>
      </c>
      <c r="H908" s="19" t="str">
        <f>IF(LEN(G908)=0,"",VLOOKUP(G908,Issues!A:D,2,FALSE))</f>
        <v>(700) Interaccion MO/MT (On Demand)</v>
      </c>
      <c r="I908" s="20" t="str">
        <f>IF(LEN(G908)=0,"",VLOOKUP(G908,Issues!A:D,3,FALSE))</f>
        <v>Flujo MO/MT con éxito.</v>
      </c>
      <c r="J908" s="19" t="str">
        <f>IF(LEN(G908)=0,"",VLOOKUP(G908,Issues!A:D,4,FALSE))</f>
        <v>Prueba OK</v>
      </c>
      <c r="K908" s="21" t="str">
        <f t="shared" si="44"/>
        <v>OK</v>
      </c>
    </row>
    <row r="909" spans="1:11" x14ac:dyDescent="0.35">
      <c r="A909" s="23">
        <v>46157</v>
      </c>
      <c r="B909" s="19" t="str">
        <f t="shared" si="43"/>
        <v>mayo</v>
      </c>
      <c r="C909" s="19" t="str">
        <f t="shared" si="42"/>
        <v>2026</v>
      </c>
      <c r="D909" s="25" t="s">
        <v>206</v>
      </c>
      <c r="E909" s="25" t="s">
        <v>15</v>
      </c>
      <c r="F909" s="25" t="s">
        <v>173</v>
      </c>
      <c r="G909" s="24">
        <v>100</v>
      </c>
      <c r="H909" s="19" t="str">
        <f>IF(LEN(G909)=0,"",VLOOKUP(G909,Issues!A:D,2,FALSE))</f>
        <v>(100)  Alta</v>
      </c>
      <c r="I909" s="20" t="str">
        <f>IF(LEN(G909)=0,"",VLOOKUP(G909,Issues!A:D,3,FALSE))</f>
        <v>Alta con éxito.</v>
      </c>
      <c r="J909" s="19" t="str">
        <f>IF(LEN(G909)=0,"",VLOOKUP(G909,Issues!A:D,4,FALSE))</f>
        <v>Prueba OK</v>
      </c>
      <c r="K909" s="21" t="str">
        <f t="shared" si="44"/>
        <v>OK</v>
      </c>
    </row>
    <row r="910" spans="1:11" x14ac:dyDescent="0.35">
      <c r="A910" s="23">
        <v>46142</v>
      </c>
      <c r="B910" s="19" t="str">
        <f t="shared" si="43"/>
        <v>abril</v>
      </c>
      <c r="C910" s="19" t="str">
        <f t="shared" si="42"/>
        <v>2026</v>
      </c>
      <c r="D910" s="25" t="s">
        <v>206</v>
      </c>
      <c r="E910" s="25" t="s">
        <v>11</v>
      </c>
      <c r="F910" s="25" t="s">
        <v>166</v>
      </c>
      <c r="G910" s="24">
        <v>103</v>
      </c>
      <c r="H910" s="19" t="str">
        <f>IF(LEN(G910)=0,"",VLOOKUP(G910,Issues!A:D,2,FALSE))</f>
        <v>(100)  Alta</v>
      </c>
      <c r="I910" s="20" t="str">
        <f>IF(LEN(G910)=0,"",VLOOKUP(G910,Issues!A:D,3,FALSE))</f>
        <v>Inconsistencia en el welcome.</v>
      </c>
      <c r="J910" s="19" t="str">
        <f>IF(LEN(G910)=0,"",VLOOKUP(G910,Issues!A:D,4,FALSE))</f>
        <v>Critico</v>
      </c>
      <c r="K910" s="21" t="str">
        <f t="shared" si="44"/>
        <v>Issue</v>
      </c>
    </row>
    <row r="911" spans="1:11" x14ac:dyDescent="0.35">
      <c r="A911" s="23">
        <v>46027</v>
      </c>
      <c r="B911" s="19" t="str">
        <f t="shared" si="43"/>
        <v>enero</v>
      </c>
      <c r="C911" s="19" t="str">
        <f t="shared" si="42"/>
        <v>2026</v>
      </c>
      <c r="D911" s="25" t="s">
        <v>207</v>
      </c>
      <c r="E911" s="25" t="s">
        <v>16</v>
      </c>
      <c r="F911" s="25" t="s">
        <v>176</v>
      </c>
      <c r="G911" s="24">
        <v>506</v>
      </c>
      <c r="H911" s="19" t="str">
        <f>IF(LEN(G911)=0,"",VLOOKUP(G911,Issues!A:D,2,FALSE))</f>
        <v>(500) Baja / Cancelacion</v>
      </c>
      <c r="I911" s="20" t="str">
        <f>IF(LEN(G911)=0,"",VLOOKUP(G911,Issues!A:D,3,FALSE))</f>
        <v>No funciona la baja desde ivr.</v>
      </c>
      <c r="J911" s="19" t="str">
        <f>IF(LEN(G911)=0,"",VLOOKUP(G911,Issues!A:D,4,FALSE))</f>
        <v>Critico</v>
      </c>
      <c r="K911" s="21" t="str">
        <f t="shared" si="44"/>
        <v>Issue</v>
      </c>
    </row>
    <row r="912" spans="1:11" x14ac:dyDescent="0.35">
      <c r="A912" s="23">
        <v>46039</v>
      </c>
      <c r="B912" s="19" t="str">
        <f t="shared" si="43"/>
        <v>enero</v>
      </c>
      <c r="C912" s="19" t="str">
        <f t="shared" si="42"/>
        <v>2026</v>
      </c>
      <c r="D912" s="25" t="s">
        <v>210</v>
      </c>
      <c r="E912" s="25" t="s">
        <v>15</v>
      </c>
      <c r="F912" s="25" t="s">
        <v>173</v>
      </c>
      <c r="G912" s="24">
        <v>200</v>
      </c>
      <c r="H912" s="19" t="str">
        <f>IF(LEN(G912)=0,"",VLOOKUP(G912,Issues!A:D,2,FALSE))</f>
        <v>(200) Contenidos</v>
      </c>
      <c r="I912" s="20" t="str">
        <f>IF(LEN(G912)=0,"",VLOOKUP(G912,Issues!A:D,3,FALSE))</f>
        <v>Contenidos recibido con éxito.</v>
      </c>
      <c r="J912" s="19" t="str">
        <f>IF(LEN(G912)=0,"",VLOOKUP(G912,Issues!A:D,4,FALSE))</f>
        <v>Prueba OK</v>
      </c>
      <c r="K912" s="21" t="str">
        <f t="shared" si="44"/>
        <v>OK</v>
      </c>
    </row>
    <row r="913" spans="1:11" x14ac:dyDescent="0.35">
      <c r="A913" s="23">
        <v>46074</v>
      </c>
      <c r="B913" s="19" t="str">
        <f t="shared" si="43"/>
        <v>febrero</v>
      </c>
      <c r="C913" s="19" t="str">
        <f t="shared" si="42"/>
        <v>2026</v>
      </c>
      <c r="D913" s="25" t="s">
        <v>206</v>
      </c>
      <c r="E913" s="25" t="s">
        <v>23</v>
      </c>
      <c r="F913" s="25" t="s">
        <v>196</v>
      </c>
      <c r="G913" s="24">
        <v>300</v>
      </c>
      <c r="H913" s="19" t="str">
        <f>IF(LEN(G913)=0,"",VLOOKUP(G913,Issues!A:D,2,FALSE))</f>
        <v>(300) Cobros</v>
      </c>
      <c r="I913" s="20" t="str">
        <f>IF(LEN(G913)=0,"",VLOOKUP(G913,Issues!A:D,3,FALSE))</f>
        <v>Cobro en valor y forma correcto.</v>
      </c>
      <c r="J913" s="19" t="str">
        <f>IF(LEN(G913)=0,"",VLOOKUP(G913,Issues!A:D,4,FALSE))</f>
        <v>Prueba OK</v>
      </c>
      <c r="K913" s="21" t="str">
        <f t="shared" si="44"/>
        <v>OK</v>
      </c>
    </row>
    <row r="914" spans="1:11" x14ac:dyDescent="0.35">
      <c r="A914" s="23">
        <v>46126</v>
      </c>
      <c r="B914" s="19" t="str">
        <f t="shared" si="43"/>
        <v>abril</v>
      </c>
      <c r="C914" s="19" t="str">
        <f t="shared" si="42"/>
        <v>2026</v>
      </c>
      <c r="D914" s="25" t="s">
        <v>207</v>
      </c>
      <c r="E914" s="25" t="s">
        <v>18</v>
      </c>
      <c r="F914" s="25" t="s">
        <v>184</v>
      </c>
      <c r="G914" s="24">
        <v>502</v>
      </c>
      <c r="H914" s="19" t="str">
        <f>IF(LEN(G914)=0,"",VLOOKUP(G914,Issues!A:D,2,FALSE))</f>
        <v>(500) Baja / Cancelacion</v>
      </c>
      <c r="I914" s="20" t="str">
        <f>IF(LEN(G914)=0,"",VLOOKUP(G914,Issues!A:D,3,FALSE))</f>
        <v>No entrega el mt de baja.</v>
      </c>
      <c r="J914" s="19" t="str">
        <f>IF(LEN(G914)=0,"",VLOOKUP(G914,Issues!A:D,4,FALSE))</f>
        <v>Critico</v>
      </c>
      <c r="K914" s="21" t="str">
        <f t="shared" si="44"/>
        <v>Issue</v>
      </c>
    </row>
    <row r="915" spans="1:11" x14ac:dyDescent="0.35">
      <c r="A915" s="23">
        <v>46110</v>
      </c>
      <c r="B915" s="19" t="str">
        <f t="shared" si="43"/>
        <v>marzo</v>
      </c>
      <c r="C915" s="19" t="str">
        <f t="shared" ref="C915:C978" si="45">IF(LEN(A915)=0,"",TEXT(A915,"aaaa"))</f>
        <v>2026</v>
      </c>
      <c r="D915" s="25" t="s">
        <v>207</v>
      </c>
      <c r="E915" s="25" t="s">
        <v>15</v>
      </c>
      <c r="F915" s="25" t="s">
        <v>174</v>
      </c>
      <c r="G915" s="24">
        <v>100</v>
      </c>
      <c r="H915" s="19" t="str">
        <f>IF(LEN(G915)=0,"",VLOOKUP(G915,Issues!A:D,2,FALSE))</f>
        <v>(100)  Alta</v>
      </c>
      <c r="I915" s="20" t="str">
        <f>IF(LEN(G915)=0,"",VLOOKUP(G915,Issues!A:D,3,FALSE))</f>
        <v>Alta con éxito.</v>
      </c>
      <c r="J915" s="19" t="str">
        <f>IF(LEN(G915)=0,"",VLOOKUP(G915,Issues!A:D,4,FALSE))</f>
        <v>Prueba OK</v>
      </c>
      <c r="K915" s="21" t="str">
        <f t="shared" si="44"/>
        <v>OK</v>
      </c>
    </row>
    <row r="916" spans="1:11" x14ac:dyDescent="0.35">
      <c r="A916" s="23">
        <v>46038</v>
      </c>
      <c r="B916" s="19" t="str">
        <f t="shared" si="43"/>
        <v>enero</v>
      </c>
      <c r="C916" s="19" t="str">
        <f t="shared" si="45"/>
        <v>2026</v>
      </c>
      <c r="D916" s="25" t="s">
        <v>207</v>
      </c>
      <c r="E916" s="25" t="s">
        <v>24</v>
      </c>
      <c r="F916" s="25" t="s">
        <v>159</v>
      </c>
      <c r="G916" s="24">
        <v>300</v>
      </c>
      <c r="H916" s="19" t="str">
        <f>IF(LEN(G916)=0,"",VLOOKUP(G916,Issues!A:D,2,FALSE))</f>
        <v>(300) Cobros</v>
      </c>
      <c r="I916" s="20" t="str">
        <f>IF(LEN(G916)=0,"",VLOOKUP(G916,Issues!A:D,3,FALSE))</f>
        <v>Cobro en valor y forma correcto.</v>
      </c>
      <c r="J916" s="19" t="str">
        <f>IF(LEN(G916)=0,"",VLOOKUP(G916,Issues!A:D,4,FALSE))</f>
        <v>Prueba OK</v>
      </c>
      <c r="K916" s="21" t="str">
        <f t="shared" si="44"/>
        <v>OK</v>
      </c>
    </row>
    <row r="917" spans="1:11" x14ac:dyDescent="0.35">
      <c r="A917" s="23">
        <v>46034</v>
      </c>
      <c r="B917" s="19" t="str">
        <f t="shared" si="43"/>
        <v>enero</v>
      </c>
      <c r="C917" s="19" t="str">
        <f t="shared" si="45"/>
        <v>2026</v>
      </c>
      <c r="D917" s="25" t="s">
        <v>209</v>
      </c>
      <c r="E917" s="25" t="s">
        <v>13</v>
      </c>
      <c r="F917" s="25" t="s">
        <v>157</v>
      </c>
      <c r="G917" s="24">
        <v>300</v>
      </c>
      <c r="H917" s="19" t="str">
        <f>IF(LEN(G917)=0,"",VLOOKUP(G917,Issues!A:D,2,FALSE))</f>
        <v>(300) Cobros</v>
      </c>
      <c r="I917" s="20" t="str">
        <f>IF(LEN(G917)=0,"",VLOOKUP(G917,Issues!A:D,3,FALSE))</f>
        <v>Cobro en valor y forma correcto.</v>
      </c>
      <c r="J917" s="19" t="str">
        <f>IF(LEN(G917)=0,"",VLOOKUP(G917,Issues!A:D,4,FALSE))</f>
        <v>Prueba OK</v>
      </c>
      <c r="K917" s="21" t="str">
        <f t="shared" si="44"/>
        <v>OK</v>
      </c>
    </row>
    <row r="918" spans="1:11" x14ac:dyDescent="0.35">
      <c r="A918" s="23">
        <v>46093</v>
      </c>
      <c r="B918" s="19" t="str">
        <f t="shared" si="43"/>
        <v>marzo</v>
      </c>
      <c r="C918" s="19" t="str">
        <f t="shared" si="45"/>
        <v>2026</v>
      </c>
      <c r="D918" s="25" t="s">
        <v>207</v>
      </c>
      <c r="E918" s="25" t="s">
        <v>27</v>
      </c>
      <c r="F918" s="25" t="s">
        <v>201</v>
      </c>
      <c r="G918" s="24">
        <v>100</v>
      </c>
      <c r="H918" s="19" t="str">
        <f>IF(LEN(G918)=0,"",VLOOKUP(G918,Issues!A:D,2,FALSE))</f>
        <v>(100)  Alta</v>
      </c>
      <c r="I918" s="20" t="str">
        <f>IF(LEN(G918)=0,"",VLOOKUP(G918,Issues!A:D,3,FALSE))</f>
        <v>Alta con éxito.</v>
      </c>
      <c r="J918" s="19" t="str">
        <f>IF(LEN(G918)=0,"",VLOOKUP(G918,Issues!A:D,4,FALSE))</f>
        <v>Prueba OK</v>
      </c>
      <c r="K918" s="21" t="str">
        <f t="shared" si="44"/>
        <v>OK</v>
      </c>
    </row>
    <row r="919" spans="1:11" x14ac:dyDescent="0.35">
      <c r="A919" s="23">
        <v>46127</v>
      </c>
      <c r="B919" s="19" t="str">
        <f t="shared" si="43"/>
        <v>abril</v>
      </c>
      <c r="C919" s="19" t="str">
        <f t="shared" si="45"/>
        <v>2026</v>
      </c>
      <c r="D919" s="25" t="s">
        <v>207</v>
      </c>
      <c r="E919" s="25" t="s">
        <v>19</v>
      </c>
      <c r="F919" s="25" t="s">
        <v>187</v>
      </c>
      <c r="G919" s="24">
        <v>702</v>
      </c>
      <c r="H919" s="19" t="str">
        <f>IF(LEN(G919)=0,"",VLOOKUP(G919,Issues!A:D,2,FALSE))</f>
        <v>(700) Interaccion MO/MT (On Demand)</v>
      </c>
      <c r="I919" s="20" t="str">
        <f>IF(LEN(G919)=0,"",VLOOKUP(G919,Issues!A:D,3,FALSE))</f>
        <v>No se recibe mt.</v>
      </c>
      <c r="J919" s="19" t="str">
        <f>IF(LEN(G919)=0,"",VLOOKUP(G919,Issues!A:D,4,FALSE))</f>
        <v>Critico</v>
      </c>
      <c r="K919" s="21" t="str">
        <f t="shared" si="44"/>
        <v>Issue</v>
      </c>
    </row>
    <row r="920" spans="1:11" x14ac:dyDescent="0.35">
      <c r="A920" s="23">
        <v>46103</v>
      </c>
      <c r="B920" s="19" t="str">
        <f t="shared" si="43"/>
        <v>marzo</v>
      </c>
      <c r="C920" s="19" t="str">
        <f t="shared" si="45"/>
        <v>2026</v>
      </c>
      <c r="D920" s="25" t="s">
        <v>207</v>
      </c>
      <c r="E920" s="25" t="s">
        <v>21</v>
      </c>
      <c r="F920" s="25" t="s">
        <v>193</v>
      </c>
      <c r="G920" s="24">
        <v>300</v>
      </c>
      <c r="H920" s="19" t="str">
        <f>IF(LEN(G920)=0,"",VLOOKUP(G920,Issues!A:D,2,FALSE))</f>
        <v>(300) Cobros</v>
      </c>
      <c r="I920" s="20" t="str">
        <f>IF(LEN(G920)=0,"",VLOOKUP(G920,Issues!A:D,3,FALSE))</f>
        <v>Cobro en valor y forma correcto.</v>
      </c>
      <c r="J920" s="19" t="str">
        <f>IF(LEN(G920)=0,"",VLOOKUP(G920,Issues!A:D,4,FALSE))</f>
        <v>Prueba OK</v>
      </c>
      <c r="K920" s="21" t="str">
        <f t="shared" si="44"/>
        <v>OK</v>
      </c>
    </row>
    <row r="921" spans="1:11" x14ac:dyDescent="0.35">
      <c r="A921" s="23">
        <v>46102</v>
      </c>
      <c r="B921" s="19" t="str">
        <f t="shared" si="43"/>
        <v>marzo</v>
      </c>
      <c r="C921" s="19" t="str">
        <f t="shared" si="45"/>
        <v>2026</v>
      </c>
      <c r="D921" s="25" t="s">
        <v>207</v>
      </c>
      <c r="E921" s="25" t="s">
        <v>13</v>
      </c>
      <c r="F921" s="25" t="s">
        <v>157</v>
      </c>
      <c r="G921" s="24">
        <v>100</v>
      </c>
      <c r="H921" s="19" t="str">
        <f>IF(LEN(G921)=0,"",VLOOKUP(G921,Issues!A:D,2,FALSE))</f>
        <v>(100)  Alta</v>
      </c>
      <c r="I921" s="20" t="str">
        <f>IF(LEN(G921)=0,"",VLOOKUP(G921,Issues!A:D,3,FALSE))</f>
        <v>Alta con éxito.</v>
      </c>
      <c r="J921" s="19" t="str">
        <f>IF(LEN(G921)=0,"",VLOOKUP(G921,Issues!A:D,4,FALSE))</f>
        <v>Prueba OK</v>
      </c>
      <c r="K921" s="21" t="str">
        <f t="shared" si="44"/>
        <v>OK</v>
      </c>
    </row>
    <row r="922" spans="1:11" x14ac:dyDescent="0.35">
      <c r="A922" s="23">
        <v>46067</v>
      </c>
      <c r="B922" s="19" t="str">
        <f t="shared" si="43"/>
        <v>febrero</v>
      </c>
      <c r="C922" s="19" t="str">
        <f t="shared" si="45"/>
        <v>2026</v>
      </c>
      <c r="D922" s="25" t="s">
        <v>207</v>
      </c>
      <c r="E922" s="25" t="s">
        <v>20</v>
      </c>
      <c r="F922" s="25" t="s">
        <v>190</v>
      </c>
      <c r="G922" s="24">
        <v>101</v>
      </c>
      <c r="H922" s="19" t="str">
        <f>IF(LEN(G922)=0,"",VLOOKUP(G922,Issues!A:D,2,FALSE))</f>
        <v>(100)  Alta</v>
      </c>
      <c r="I922" s="20" t="str">
        <f>IF(LEN(G922)=0,"",VLOOKUP(G922,Issues!A:D,3,FALSE))</f>
        <v>No se genero el alta - no hay respuesta al kw.</v>
      </c>
      <c r="J922" s="19" t="str">
        <f>IF(LEN(G922)=0,"",VLOOKUP(G922,Issues!A:D,4,FALSE))</f>
        <v>Critico</v>
      </c>
      <c r="K922" s="21" t="str">
        <f t="shared" si="44"/>
        <v>Issue</v>
      </c>
    </row>
    <row r="923" spans="1:11" x14ac:dyDescent="0.35">
      <c r="A923" s="23">
        <v>46107</v>
      </c>
      <c r="B923" s="19" t="str">
        <f t="shared" si="43"/>
        <v>marzo</v>
      </c>
      <c r="C923" s="19" t="str">
        <f t="shared" si="45"/>
        <v>2026</v>
      </c>
      <c r="D923" s="25" t="s">
        <v>206</v>
      </c>
      <c r="E923" s="25" t="s">
        <v>27</v>
      </c>
      <c r="F923" s="25" t="s">
        <v>200</v>
      </c>
      <c r="G923" s="24">
        <v>400</v>
      </c>
      <c r="H923" s="19" t="str">
        <f>IF(LEN(G923)=0,"",VLOOKUP(G923,Issues!A:D,2,FALSE))</f>
        <v>(400) Portales / Web-App</v>
      </c>
      <c r="I923" s="20" t="str">
        <f>IF(LEN(G923)=0,"",VLOOKUP(G923,Issues!A:D,3,FALSE))</f>
        <v>Portal evaluado con éxito.</v>
      </c>
      <c r="J923" s="19" t="str">
        <f>IF(LEN(G923)=0,"",VLOOKUP(G923,Issues!A:D,4,FALSE))</f>
        <v>Prueba OK</v>
      </c>
      <c r="K923" s="21" t="str">
        <f t="shared" si="44"/>
        <v>OK</v>
      </c>
    </row>
    <row r="924" spans="1:11" x14ac:dyDescent="0.35">
      <c r="A924" s="23">
        <v>46047</v>
      </c>
      <c r="B924" s="19" t="str">
        <f t="shared" si="43"/>
        <v>enero</v>
      </c>
      <c r="C924" s="19" t="str">
        <f t="shared" si="45"/>
        <v>2026</v>
      </c>
      <c r="D924" s="25" t="s">
        <v>204</v>
      </c>
      <c r="E924" s="25" t="s">
        <v>16</v>
      </c>
      <c r="F924" s="25" t="s">
        <v>178</v>
      </c>
      <c r="G924" s="24">
        <v>300</v>
      </c>
      <c r="H924" s="19" t="str">
        <f>IF(LEN(G924)=0,"",VLOOKUP(G924,Issues!A:D,2,FALSE))</f>
        <v>(300) Cobros</v>
      </c>
      <c r="I924" s="20" t="str">
        <f>IF(LEN(G924)=0,"",VLOOKUP(G924,Issues!A:D,3,FALSE))</f>
        <v>Cobro en valor y forma correcto.</v>
      </c>
      <c r="J924" s="19" t="str">
        <f>IF(LEN(G924)=0,"",VLOOKUP(G924,Issues!A:D,4,FALSE))</f>
        <v>Prueba OK</v>
      </c>
      <c r="K924" s="21" t="str">
        <f t="shared" si="44"/>
        <v>OK</v>
      </c>
    </row>
    <row r="925" spans="1:11" x14ac:dyDescent="0.35">
      <c r="A925" s="23">
        <v>46111</v>
      </c>
      <c r="B925" s="19" t="str">
        <f t="shared" si="43"/>
        <v>marzo</v>
      </c>
      <c r="C925" s="19" t="str">
        <f t="shared" si="45"/>
        <v>2026</v>
      </c>
      <c r="D925" s="25" t="s">
        <v>208</v>
      </c>
      <c r="E925" s="25" t="s">
        <v>15</v>
      </c>
      <c r="F925" s="25" t="s">
        <v>175</v>
      </c>
      <c r="G925" s="24">
        <v>700</v>
      </c>
      <c r="H925" s="19" t="str">
        <f>IF(LEN(G925)=0,"",VLOOKUP(G925,Issues!A:D,2,FALSE))</f>
        <v>(700) Interaccion MO/MT (On Demand)</v>
      </c>
      <c r="I925" s="20" t="str">
        <f>IF(LEN(G925)=0,"",VLOOKUP(G925,Issues!A:D,3,FALSE))</f>
        <v>Flujo MO/MT con éxito.</v>
      </c>
      <c r="J925" s="19" t="str">
        <f>IF(LEN(G925)=0,"",VLOOKUP(G925,Issues!A:D,4,FALSE))</f>
        <v>Prueba OK</v>
      </c>
      <c r="K925" s="21" t="str">
        <f t="shared" si="44"/>
        <v>OK</v>
      </c>
    </row>
    <row r="926" spans="1:11" x14ac:dyDescent="0.35">
      <c r="A926" s="23">
        <v>46157</v>
      </c>
      <c r="B926" s="19" t="str">
        <f t="shared" si="43"/>
        <v>mayo</v>
      </c>
      <c r="C926" s="19" t="str">
        <f t="shared" si="45"/>
        <v>2026</v>
      </c>
      <c r="D926" s="25" t="s">
        <v>207</v>
      </c>
      <c r="E926" s="25" t="s">
        <v>14</v>
      </c>
      <c r="F926" s="25" t="s">
        <v>171</v>
      </c>
      <c r="G926" s="24">
        <v>100</v>
      </c>
      <c r="H926" s="19" t="str">
        <f>IF(LEN(G926)=0,"",VLOOKUP(G926,Issues!A:D,2,FALSE))</f>
        <v>(100)  Alta</v>
      </c>
      <c r="I926" s="20" t="str">
        <f>IF(LEN(G926)=0,"",VLOOKUP(G926,Issues!A:D,3,FALSE))</f>
        <v>Alta con éxito.</v>
      </c>
      <c r="J926" s="19" t="str">
        <f>IF(LEN(G926)=0,"",VLOOKUP(G926,Issues!A:D,4,FALSE))</f>
        <v>Prueba OK</v>
      </c>
      <c r="K926" s="21" t="str">
        <f t="shared" si="44"/>
        <v>OK</v>
      </c>
    </row>
    <row r="927" spans="1:11" x14ac:dyDescent="0.35">
      <c r="A927" s="23">
        <v>46042</v>
      </c>
      <c r="B927" s="19" t="str">
        <f t="shared" si="43"/>
        <v>enero</v>
      </c>
      <c r="C927" s="19" t="str">
        <f t="shared" si="45"/>
        <v>2026</v>
      </c>
      <c r="D927" s="25" t="s">
        <v>206</v>
      </c>
      <c r="E927" s="25" t="s">
        <v>19</v>
      </c>
      <c r="F927" s="25" t="s">
        <v>186</v>
      </c>
      <c r="G927" s="24">
        <v>800</v>
      </c>
      <c r="H927" s="19" t="str">
        <f>IF(LEN(G927)=0,"",VLOOKUP(G927,Issues!A:D,2,FALSE))</f>
        <v>(800) Politicas especiales operadores</v>
      </c>
      <c r="I927" s="20" t="str">
        <f>IF(LEN(G927)=0,"",VLOOKUP(G927,Issues!A:D,3,FALSE))</f>
        <v>Politicas de los operadores cumplidas.</v>
      </c>
      <c r="J927" s="19" t="str">
        <f>IF(LEN(G927)=0,"",VLOOKUP(G927,Issues!A:D,4,FALSE))</f>
        <v>Prueba OK</v>
      </c>
      <c r="K927" s="21" t="str">
        <f t="shared" si="44"/>
        <v>OK</v>
      </c>
    </row>
    <row r="928" spans="1:11" x14ac:dyDescent="0.35">
      <c r="A928" s="23">
        <v>46062</v>
      </c>
      <c r="B928" s="19" t="str">
        <f t="shared" si="43"/>
        <v>febrero</v>
      </c>
      <c r="C928" s="19" t="str">
        <f t="shared" si="45"/>
        <v>2026</v>
      </c>
      <c r="D928" s="25" t="s">
        <v>207</v>
      </c>
      <c r="E928" s="25" t="s">
        <v>17</v>
      </c>
      <c r="F928" s="25" t="s">
        <v>181</v>
      </c>
      <c r="G928" s="24">
        <v>204</v>
      </c>
      <c r="H928" s="19" t="str">
        <f>IF(LEN(G928)=0,"",VLOOKUP(G928,Issues!A:D,2,FALSE))</f>
        <v>(200) Contenidos</v>
      </c>
      <c r="I928" s="20" t="str">
        <f>IF(LEN(G928)=0,"",VLOOKUP(G928,Issues!A:D,3,FALSE))</f>
        <v>Error/inconsistencia en t&amp;c en sms.</v>
      </c>
      <c r="J928" s="19" t="str">
        <f>IF(LEN(G928)=0,"",VLOOKUP(G928,Issues!A:D,4,FALSE))</f>
        <v>Critico</v>
      </c>
      <c r="K928" s="21" t="str">
        <f t="shared" si="44"/>
        <v>Issue</v>
      </c>
    </row>
    <row r="929" spans="1:11" x14ac:dyDescent="0.35">
      <c r="A929" s="23">
        <v>46128</v>
      </c>
      <c r="B929" s="19" t="str">
        <f t="shared" si="43"/>
        <v>abril</v>
      </c>
      <c r="C929" s="19" t="str">
        <f t="shared" si="45"/>
        <v>2026</v>
      </c>
      <c r="D929" s="25" t="s">
        <v>208</v>
      </c>
      <c r="E929" s="25" t="s">
        <v>26</v>
      </c>
      <c r="F929" s="25" t="s">
        <v>156</v>
      </c>
      <c r="G929" s="24">
        <v>700</v>
      </c>
      <c r="H929" s="19" t="str">
        <f>IF(LEN(G929)=0,"",VLOOKUP(G929,Issues!A:D,2,FALSE))</f>
        <v>(700) Interaccion MO/MT (On Demand)</v>
      </c>
      <c r="I929" s="20" t="str">
        <f>IF(LEN(G929)=0,"",VLOOKUP(G929,Issues!A:D,3,FALSE))</f>
        <v>Flujo MO/MT con éxito.</v>
      </c>
      <c r="J929" s="19" t="str">
        <f>IF(LEN(G929)=0,"",VLOOKUP(G929,Issues!A:D,4,FALSE))</f>
        <v>Prueba OK</v>
      </c>
      <c r="K929" s="21" t="str">
        <f t="shared" si="44"/>
        <v>OK</v>
      </c>
    </row>
    <row r="930" spans="1:11" x14ac:dyDescent="0.35">
      <c r="A930" s="23">
        <v>46074</v>
      </c>
      <c r="B930" s="19" t="str">
        <f t="shared" si="43"/>
        <v>febrero</v>
      </c>
      <c r="C930" s="19" t="str">
        <f t="shared" si="45"/>
        <v>2026</v>
      </c>
      <c r="D930" s="25" t="s">
        <v>206</v>
      </c>
      <c r="E930" s="25" t="s">
        <v>13</v>
      </c>
      <c r="F930" s="25" t="s">
        <v>157</v>
      </c>
      <c r="G930" s="24">
        <v>106</v>
      </c>
      <c r="H930" s="19" t="str">
        <f>IF(LEN(G930)=0,"",VLOOKUP(G930,Issues!A:D,2,FALSE))</f>
        <v>(100)  Alta</v>
      </c>
      <c r="I930" s="20" t="str">
        <f>IF(LEN(G930)=0,"",VLOOKUP(G930,Issues!A:D,3,FALSE))</f>
        <v>Falla en lp de suscripción web.</v>
      </c>
      <c r="J930" s="19" t="str">
        <f>IF(LEN(G930)=0,"",VLOOKUP(G930,Issues!A:D,4,FALSE))</f>
        <v>Critico</v>
      </c>
      <c r="K930" s="21" t="str">
        <f t="shared" si="44"/>
        <v>Issue</v>
      </c>
    </row>
    <row r="931" spans="1:11" x14ac:dyDescent="0.35">
      <c r="A931" s="23">
        <v>46055</v>
      </c>
      <c r="B931" s="19" t="str">
        <f t="shared" si="43"/>
        <v>febrero</v>
      </c>
      <c r="C931" s="19" t="str">
        <f t="shared" si="45"/>
        <v>2026</v>
      </c>
      <c r="D931" s="25" t="s">
        <v>207</v>
      </c>
      <c r="E931" s="25" t="s">
        <v>16</v>
      </c>
      <c r="F931" s="25" t="s">
        <v>178</v>
      </c>
      <c r="G931" s="24">
        <v>407</v>
      </c>
      <c r="H931" s="19" t="str">
        <f>IF(LEN(G931)=0,"",VLOOKUP(G931,Issues!A:D,2,FALSE))</f>
        <v>(400) Portales / Web-App</v>
      </c>
      <c r="I931" s="20" t="str">
        <f>IF(LEN(G931)=0,"",VLOOKUP(G931,Issues!A:D,3,FALSE))</f>
        <v>No funciona la interaccion.</v>
      </c>
      <c r="J931" s="19" t="str">
        <f>IF(LEN(G931)=0,"",VLOOKUP(G931,Issues!A:D,4,FALSE))</f>
        <v>Critico</v>
      </c>
      <c r="K931" s="21" t="str">
        <f t="shared" si="44"/>
        <v>Issue</v>
      </c>
    </row>
    <row r="932" spans="1:11" x14ac:dyDescent="0.35">
      <c r="A932" s="23">
        <v>46028</v>
      </c>
      <c r="B932" s="19" t="str">
        <f t="shared" si="43"/>
        <v>enero</v>
      </c>
      <c r="C932" s="19" t="str">
        <f t="shared" si="45"/>
        <v>2026</v>
      </c>
      <c r="D932" s="25" t="s">
        <v>207</v>
      </c>
      <c r="E932" s="25" t="s">
        <v>21</v>
      </c>
      <c r="F932" s="25" t="s">
        <v>192</v>
      </c>
      <c r="G932" s="24">
        <v>500</v>
      </c>
      <c r="H932" s="19" t="str">
        <f>IF(LEN(G932)=0,"",VLOOKUP(G932,Issues!A:D,2,FALSE))</f>
        <v>(500) Baja / Cancelacion</v>
      </c>
      <c r="I932" s="20" t="str">
        <f>IF(LEN(G932)=0,"",VLOOKUP(G932,Issues!A:D,3,FALSE))</f>
        <v>Baja con éxito.</v>
      </c>
      <c r="J932" s="19" t="str">
        <f>IF(LEN(G932)=0,"",VLOOKUP(G932,Issues!A:D,4,FALSE))</f>
        <v>Prueba OK</v>
      </c>
      <c r="K932" s="21" t="str">
        <f t="shared" si="44"/>
        <v>OK</v>
      </c>
    </row>
    <row r="933" spans="1:11" x14ac:dyDescent="0.35">
      <c r="A933" s="23">
        <v>46050</v>
      </c>
      <c r="B933" s="19" t="str">
        <f t="shared" si="43"/>
        <v>enero</v>
      </c>
      <c r="C933" s="19" t="str">
        <f t="shared" si="45"/>
        <v>2026</v>
      </c>
      <c r="D933" s="25" t="s">
        <v>204</v>
      </c>
      <c r="E933" s="25" t="s">
        <v>23</v>
      </c>
      <c r="F933" s="25" t="s">
        <v>195</v>
      </c>
      <c r="G933" s="24">
        <v>701</v>
      </c>
      <c r="H933" s="19" t="str">
        <f>IF(LEN(G933)=0,"",VLOOKUP(G933,Issues!A:D,2,FALSE))</f>
        <v>(700) Interaccion MO/MT (On Demand)</v>
      </c>
      <c r="I933" s="20" t="str">
        <f>IF(LEN(G933)=0,"",VLOOKUP(G933,Issues!A:D,3,FALSE))</f>
        <v>No envia el mo.</v>
      </c>
      <c r="J933" s="19" t="str">
        <f>IF(LEN(G933)=0,"",VLOOKUP(G933,Issues!A:D,4,FALSE))</f>
        <v>Critico</v>
      </c>
      <c r="K933" s="21" t="str">
        <f t="shared" si="44"/>
        <v>Issue</v>
      </c>
    </row>
    <row r="934" spans="1:11" x14ac:dyDescent="0.35">
      <c r="A934" s="23">
        <v>46078</v>
      </c>
      <c r="B934" s="19" t="str">
        <f t="shared" si="43"/>
        <v>febrero</v>
      </c>
      <c r="C934" s="19" t="str">
        <f t="shared" si="45"/>
        <v>2026</v>
      </c>
      <c r="D934" s="25" t="s">
        <v>206</v>
      </c>
      <c r="E934" s="25" t="s">
        <v>10</v>
      </c>
      <c r="F934" s="25" t="s">
        <v>163</v>
      </c>
      <c r="G934" s="24">
        <v>500</v>
      </c>
      <c r="H934" s="19" t="str">
        <f>IF(LEN(G934)=0,"",VLOOKUP(G934,Issues!A:D,2,FALSE))</f>
        <v>(500) Baja / Cancelacion</v>
      </c>
      <c r="I934" s="20" t="str">
        <f>IF(LEN(G934)=0,"",VLOOKUP(G934,Issues!A:D,3,FALSE))</f>
        <v>Baja con éxito.</v>
      </c>
      <c r="J934" s="19" t="str">
        <f>IF(LEN(G934)=0,"",VLOOKUP(G934,Issues!A:D,4,FALSE))</f>
        <v>Prueba OK</v>
      </c>
      <c r="K934" s="21" t="str">
        <f t="shared" si="44"/>
        <v>OK</v>
      </c>
    </row>
    <row r="935" spans="1:11" x14ac:dyDescent="0.35">
      <c r="A935" s="23">
        <v>46083</v>
      </c>
      <c r="B935" s="19" t="str">
        <f t="shared" si="43"/>
        <v>marzo</v>
      </c>
      <c r="C935" s="19" t="str">
        <f t="shared" si="45"/>
        <v>2026</v>
      </c>
      <c r="D935" s="25" t="s">
        <v>206</v>
      </c>
      <c r="E935" s="25" t="s">
        <v>11</v>
      </c>
      <c r="F935" s="25" t="s">
        <v>164</v>
      </c>
      <c r="G935" s="24">
        <v>300</v>
      </c>
      <c r="H935" s="19" t="str">
        <f>IF(LEN(G935)=0,"",VLOOKUP(G935,Issues!A:D,2,FALSE))</f>
        <v>(300) Cobros</v>
      </c>
      <c r="I935" s="20" t="str">
        <f>IF(LEN(G935)=0,"",VLOOKUP(G935,Issues!A:D,3,FALSE))</f>
        <v>Cobro en valor y forma correcto.</v>
      </c>
      <c r="J935" s="19" t="str">
        <f>IF(LEN(G935)=0,"",VLOOKUP(G935,Issues!A:D,4,FALSE))</f>
        <v>Prueba OK</v>
      </c>
      <c r="K935" s="21" t="str">
        <f t="shared" si="44"/>
        <v>OK</v>
      </c>
    </row>
    <row r="936" spans="1:11" x14ac:dyDescent="0.35">
      <c r="A936" s="23">
        <v>46030</v>
      </c>
      <c r="B936" s="19" t="str">
        <f t="shared" si="43"/>
        <v>enero</v>
      </c>
      <c r="C936" s="19" t="str">
        <f t="shared" si="45"/>
        <v>2026</v>
      </c>
      <c r="D936" s="25" t="s">
        <v>207</v>
      </c>
      <c r="E936" s="25" t="s">
        <v>14</v>
      </c>
      <c r="F936" s="25" t="s">
        <v>171</v>
      </c>
      <c r="G936" s="24">
        <v>200</v>
      </c>
      <c r="H936" s="19" t="str">
        <f>IF(LEN(G936)=0,"",VLOOKUP(G936,Issues!A:D,2,FALSE))</f>
        <v>(200) Contenidos</v>
      </c>
      <c r="I936" s="20" t="str">
        <f>IF(LEN(G936)=0,"",VLOOKUP(G936,Issues!A:D,3,FALSE))</f>
        <v>Contenidos recibido con éxito.</v>
      </c>
      <c r="J936" s="19" t="str">
        <f>IF(LEN(G936)=0,"",VLOOKUP(G936,Issues!A:D,4,FALSE))</f>
        <v>Prueba OK</v>
      </c>
      <c r="K936" s="21" t="str">
        <f t="shared" si="44"/>
        <v>OK</v>
      </c>
    </row>
    <row r="937" spans="1:11" x14ac:dyDescent="0.35">
      <c r="A937" s="23">
        <v>46088</v>
      </c>
      <c r="B937" s="19" t="str">
        <f t="shared" si="43"/>
        <v>marzo</v>
      </c>
      <c r="C937" s="19" t="str">
        <f t="shared" si="45"/>
        <v>2026</v>
      </c>
      <c r="D937" s="25" t="s">
        <v>206</v>
      </c>
      <c r="E937" s="25" t="s">
        <v>22</v>
      </c>
      <c r="F937" s="25" t="s">
        <v>150</v>
      </c>
      <c r="G937" s="24">
        <v>308</v>
      </c>
      <c r="H937" s="19" t="str">
        <f>IF(LEN(G937)=0,"",VLOOKUP(G937,Issues!A:D,2,FALSE))</f>
        <v>(300) Cobros</v>
      </c>
      <c r="I937" s="20" t="str">
        <f>IF(LEN(G937)=0,"",VLOOKUP(G937,Issues!A:D,3,FALSE))</f>
        <v>No entrega confirmacion de cobro.</v>
      </c>
      <c r="J937" s="19" t="str">
        <f>IF(LEN(G937)=0,"",VLOOKUP(G937,Issues!A:D,4,FALSE))</f>
        <v>Critico</v>
      </c>
      <c r="K937" s="21" t="str">
        <f t="shared" si="44"/>
        <v>Issue</v>
      </c>
    </row>
    <row r="938" spans="1:11" x14ac:dyDescent="0.35">
      <c r="A938" s="23">
        <v>46078</v>
      </c>
      <c r="B938" s="19" t="str">
        <f t="shared" si="43"/>
        <v>febrero</v>
      </c>
      <c r="C938" s="19" t="str">
        <f t="shared" si="45"/>
        <v>2026</v>
      </c>
      <c r="D938" s="25" t="s">
        <v>206</v>
      </c>
      <c r="E938" s="25" t="s">
        <v>21</v>
      </c>
      <c r="F938" s="25" t="s">
        <v>193</v>
      </c>
      <c r="G938" s="24">
        <v>210</v>
      </c>
      <c r="H938" s="19" t="str">
        <f>IF(LEN(G938)=0,"",VLOOKUP(G938,Issues!A:D,2,FALSE))</f>
        <v>(200) Contenidos</v>
      </c>
      <c r="I938" s="20" t="str">
        <f>IF(LEN(G938)=0,"",VLOOKUP(G938,Issues!A:D,3,FALSE))</f>
        <v>Contenido no apropiado - fuera de las politicas del operador.</v>
      </c>
      <c r="J938" s="19" t="str">
        <f>IF(LEN(G938)=0,"",VLOOKUP(G938,Issues!A:D,4,FALSE))</f>
        <v>Critico</v>
      </c>
      <c r="K938" s="21" t="str">
        <f t="shared" si="44"/>
        <v>Issue</v>
      </c>
    </row>
    <row r="939" spans="1:11" x14ac:dyDescent="0.35">
      <c r="A939" s="23">
        <v>46091</v>
      </c>
      <c r="B939" s="19" t="str">
        <f t="shared" si="43"/>
        <v>marzo</v>
      </c>
      <c r="C939" s="19" t="str">
        <f t="shared" si="45"/>
        <v>2026</v>
      </c>
      <c r="D939" s="25" t="s">
        <v>207</v>
      </c>
      <c r="E939" s="25" t="s">
        <v>16</v>
      </c>
      <c r="F939" s="25" t="s">
        <v>178</v>
      </c>
      <c r="G939" s="24">
        <v>204</v>
      </c>
      <c r="H939" s="19" t="str">
        <f>IF(LEN(G939)=0,"",VLOOKUP(G939,Issues!A:D,2,FALSE))</f>
        <v>(200) Contenidos</v>
      </c>
      <c r="I939" s="20" t="str">
        <f>IF(LEN(G939)=0,"",VLOOKUP(G939,Issues!A:D,3,FALSE))</f>
        <v>Error/inconsistencia en t&amp;c en sms.</v>
      </c>
      <c r="J939" s="19" t="str">
        <f>IF(LEN(G939)=0,"",VLOOKUP(G939,Issues!A:D,4,FALSE))</f>
        <v>Critico</v>
      </c>
      <c r="K939" s="21" t="str">
        <f t="shared" si="44"/>
        <v>Issue</v>
      </c>
    </row>
    <row r="940" spans="1:11" x14ac:dyDescent="0.35">
      <c r="A940" s="23">
        <v>46064</v>
      </c>
      <c r="B940" s="19" t="str">
        <f t="shared" si="43"/>
        <v>febrero</v>
      </c>
      <c r="C940" s="19" t="str">
        <f t="shared" si="45"/>
        <v>2026</v>
      </c>
      <c r="D940" s="25" t="s">
        <v>206</v>
      </c>
      <c r="E940" s="25" t="s">
        <v>16</v>
      </c>
      <c r="F940" s="25" t="s">
        <v>177</v>
      </c>
      <c r="G940" s="24">
        <v>700</v>
      </c>
      <c r="H940" s="19" t="str">
        <f>IF(LEN(G940)=0,"",VLOOKUP(G940,Issues!A:D,2,FALSE))</f>
        <v>(700) Interaccion MO/MT (On Demand)</v>
      </c>
      <c r="I940" s="20" t="str">
        <f>IF(LEN(G940)=0,"",VLOOKUP(G940,Issues!A:D,3,FALSE))</f>
        <v>Flujo MO/MT con éxito.</v>
      </c>
      <c r="J940" s="19" t="str">
        <f>IF(LEN(G940)=0,"",VLOOKUP(G940,Issues!A:D,4,FALSE))</f>
        <v>Prueba OK</v>
      </c>
      <c r="K940" s="21" t="str">
        <f t="shared" si="44"/>
        <v>OK</v>
      </c>
    </row>
    <row r="941" spans="1:11" x14ac:dyDescent="0.35">
      <c r="A941" s="23">
        <v>46043</v>
      </c>
      <c r="B941" s="19" t="str">
        <f t="shared" si="43"/>
        <v>enero</v>
      </c>
      <c r="C941" s="19" t="str">
        <f t="shared" si="45"/>
        <v>2026</v>
      </c>
      <c r="D941" s="25" t="s">
        <v>208</v>
      </c>
      <c r="E941" s="25" t="s">
        <v>20</v>
      </c>
      <c r="F941" s="25" t="s">
        <v>189</v>
      </c>
      <c r="G941" s="24">
        <v>100</v>
      </c>
      <c r="H941" s="19" t="str">
        <f>IF(LEN(G941)=0,"",VLOOKUP(G941,Issues!A:D,2,FALSE))</f>
        <v>(100)  Alta</v>
      </c>
      <c r="I941" s="20" t="str">
        <f>IF(LEN(G941)=0,"",VLOOKUP(G941,Issues!A:D,3,FALSE))</f>
        <v>Alta con éxito.</v>
      </c>
      <c r="J941" s="19" t="str">
        <f>IF(LEN(G941)=0,"",VLOOKUP(G941,Issues!A:D,4,FALSE))</f>
        <v>Prueba OK</v>
      </c>
      <c r="K941" s="21" t="str">
        <f t="shared" si="44"/>
        <v>OK</v>
      </c>
    </row>
    <row r="942" spans="1:11" x14ac:dyDescent="0.35">
      <c r="A942" s="23">
        <v>46067</v>
      </c>
      <c r="B942" s="19" t="str">
        <f t="shared" si="43"/>
        <v>febrero</v>
      </c>
      <c r="C942" s="19" t="str">
        <f t="shared" si="45"/>
        <v>2026</v>
      </c>
      <c r="D942" s="25" t="s">
        <v>207</v>
      </c>
      <c r="E942" s="25" t="s">
        <v>12</v>
      </c>
      <c r="F942" s="25" t="s">
        <v>169</v>
      </c>
      <c r="G942" s="24">
        <v>100</v>
      </c>
      <c r="H942" s="19" t="str">
        <f>IF(LEN(G942)=0,"",VLOOKUP(G942,Issues!A:D,2,FALSE))</f>
        <v>(100)  Alta</v>
      </c>
      <c r="I942" s="20" t="str">
        <f>IF(LEN(G942)=0,"",VLOOKUP(G942,Issues!A:D,3,FALSE))</f>
        <v>Alta con éxito.</v>
      </c>
      <c r="J942" s="19" t="str">
        <f>IF(LEN(G942)=0,"",VLOOKUP(G942,Issues!A:D,4,FALSE))</f>
        <v>Prueba OK</v>
      </c>
      <c r="K942" s="21" t="str">
        <f t="shared" si="44"/>
        <v>OK</v>
      </c>
    </row>
    <row r="943" spans="1:11" x14ac:dyDescent="0.35">
      <c r="A943" s="23">
        <v>46100</v>
      </c>
      <c r="B943" s="19" t="str">
        <f t="shared" si="43"/>
        <v>marzo</v>
      </c>
      <c r="C943" s="19" t="str">
        <f t="shared" si="45"/>
        <v>2026</v>
      </c>
      <c r="D943" s="25" t="s">
        <v>207</v>
      </c>
      <c r="E943" s="25" t="s">
        <v>15</v>
      </c>
      <c r="F943" s="25" t="s">
        <v>174</v>
      </c>
      <c r="G943" s="24">
        <v>206</v>
      </c>
      <c r="H943" s="19" t="str">
        <f>IF(LEN(G943)=0,"",VLOOKUP(G943,Issues!A:D,2,FALSE))</f>
        <v>(200) Contenidos</v>
      </c>
      <c r="I943" s="20" t="str">
        <f>IF(LEN(G943)=0,"",VLOOKUP(G943,Issues!A:D,3,FALSE))</f>
        <v>Llego doble contenido.</v>
      </c>
      <c r="J943" s="19" t="str">
        <f>IF(LEN(G943)=0,"",VLOOKUP(G943,Issues!A:D,4,FALSE))</f>
        <v>Medio</v>
      </c>
      <c r="K943" s="21" t="str">
        <f t="shared" si="44"/>
        <v>Issue</v>
      </c>
    </row>
    <row r="944" spans="1:11" x14ac:dyDescent="0.35">
      <c r="A944" s="23">
        <v>46106</v>
      </c>
      <c r="B944" s="19" t="str">
        <f t="shared" si="43"/>
        <v>marzo</v>
      </c>
      <c r="C944" s="19" t="str">
        <f t="shared" si="45"/>
        <v>2026</v>
      </c>
      <c r="D944" s="25" t="s">
        <v>207</v>
      </c>
      <c r="E944" s="25" t="s">
        <v>16</v>
      </c>
      <c r="F944" s="25" t="s">
        <v>176</v>
      </c>
      <c r="G944" s="24">
        <v>800</v>
      </c>
      <c r="H944" s="19" t="str">
        <f>IF(LEN(G944)=0,"",VLOOKUP(G944,Issues!A:D,2,FALSE))</f>
        <v>(800) Politicas especiales operadores</v>
      </c>
      <c r="I944" s="20" t="str">
        <f>IF(LEN(G944)=0,"",VLOOKUP(G944,Issues!A:D,3,FALSE))</f>
        <v>Politicas de los operadores cumplidas.</v>
      </c>
      <c r="J944" s="19" t="str">
        <f>IF(LEN(G944)=0,"",VLOOKUP(G944,Issues!A:D,4,FALSE))</f>
        <v>Prueba OK</v>
      </c>
      <c r="K944" s="21" t="str">
        <f t="shared" si="44"/>
        <v>OK</v>
      </c>
    </row>
    <row r="945" spans="1:11" x14ac:dyDescent="0.35">
      <c r="A945" s="23">
        <v>46150</v>
      </c>
      <c r="B945" s="19" t="str">
        <f t="shared" si="43"/>
        <v>mayo</v>
      </c>
      <c r="C945" s="19" t="str">
        <f t="shared" si="45"/>
        <v>2026</v>
      </c>
      <c r="D945" s="25" t="s">
        <v>207</v>
      </c>
      <c r="E945" s="25" t="s">
        <v>14</v>
      </c>
      <c r="F945" s="25" t="s">
        <v>171</v>
      </c>
      <c r="G945" s="24">
        <v>206</v>
      </c>
      <c r="H945" s="19" t="str">
        <f>IF(LEN(G945)=0,"",VLOOKUP(G945,Issues!A:D,2,FALSE))</f>
        <v>(200) Contenidos</v>
      </c>
      <c r="I945" s="20" t="str">
        <f>IF(LEN(G945)=0,"",VLOOKUP(G945,Issues!A:D,3,FALSE))</f>
        <v>Llego doble contenido.</v>
      </c>
      <c r="J945" s="19" t="str">
        <f>IF(LEN(G945)=0,"",VLOOKUP(G945,Issues!A:D,4,FALSE))</f>
        <v>Medio</v>
      </c>
      <c r="K945" s="21" t="str">
        <f t="shared" si="44"/>
        <v>Issue</v>
      </c>
    </row>
    <row r="946" spans="1:11" x14ac:dyDescent="0.35">
      <c r="A946" s="23">
        <v>46106</v>
      </c>
      <c r="B946" s="19" t="str">
        <f t="shared" si="43"/>
        <v>marzo</v>
      </c>
      <c r="C946" s="19" t="str">
        <f t="shared" si="45"/>
        <v>2026</v>
      </c>
      <c r="D946" s="25" t="s">
        <v>206</v>
      </c>
      <c r="E946" s="25" t="s">
        <v>14</v>
      </c>
      <c r="F946" s="25" t="s">
        <v>171</v>
      </c>
      <c r="G946" s="24">
        <v>107</v>
      </c>
      <c r="H946" s="19" t="str">
        <f>IF(LEN(G946)=0,"",VLOOKUP(G946,Issues!A:D,2,FALSE))</f>
        <v>(100)  Alta</v>
      </c>
      <c r="I946" s="20" t="str">
        <f>IF(LEN(G946)=0,"",VLOOKUP(G946,Issues!A:D,3,FALSE))</f>
        <v>Falla en lp de suscripción wap - header enrichment.</v>
      </c>
      <c r="J946" s="19" t="str">
        <f>IF(LEN(G946)=0,"",VLOOKUP(G946,Issues!A:D,4,FALSE))</f>
        <v>Critico</v>
      </c>
      <c r="K946" s="21" t="str">
        <f t="shared" si="44"/>
        <v>Issue</v>
      </c>
    </row>
    <row r="947" spans="1:11" x14ac:dyDescent="0.35">
      <c r="A947" s="23">
        <v>46128</v>
      </c>
      <c r="B947" s="19" t="str">
        <f t="shared" si="43"/>
        <v>abril</v>
      </c>
      <c r="C947" s="19" t="str">
        <f t="shared" si="45"/>
        <v>2026</v>
      </c>
      <c r="D947" s="25" t="s">
        <v>206</v>
      </c>
      <c r="E947" s="25" t="s">
        <v>23</v>
      </c>
      <c r="F947" s="25" t="s">
        <v>196</v>
      </c>
      <c r="G947" s="24">
        <v>100</v>
      </c>
      <c r="H947" s="19" t="str">
        <f>IF(LEN(G947)=0,"",VLOOKUP(G947,Issues!A:D,2,FALSE))</f>
        <v>(100)  Alta</v>
      </c>
      <c r="I947" s="20" t="str">
        <f>IF(LEN(G947)=0,"",VLOOKUP(G947,Issues!A:D,3,FALSE))</f>
        <v>Alta con éxito.</v>
      </c>
      <c r="J947" s="19" t="str">
        <f>IF(LEN(G947)=0,"",VLOOKUP(G947,Issues!A:D,4,FALSE))</f>
        <v>Prueba OK</v>
      </c>
      <c r="K947" s="21" t="str">
        <f t="shared" si="44"/>
        <v>OK</v>
      </c>
    </row>
    <row r="948" spans="1:11" x14ac:dyDescent="0.35">
      <c r="A948" s="23">
        <v>46055</v>
      </c>
      <c r="B948" s="19" t="str">
        <f t="shared" si="43"/>
        <v>febrero</v>
      </c>
      <c r="C948" s="19" t="str">
        <f t="shared" si="45"/>
        <v>2026</v>
      </c>
      <c r="D948" s="25" t="s">
        <v>206</v>
      </c>
      <c r="E948" s="25" t="s">
        <v>10</v>
      </c>
      <c r="F948" s="25" t="s">
        <v>163</v>
      </c>
      <c r="G948" s="24">
        <v>500</v>
      </c>
      <c r="H948" s="19" t="str">
        <f>IF(LEN(G948)=0,"",VLOOKUP(G948,Issues!A:D,2,FALSE))</f>
        <v>(500) Baja / Cancelacion</v>
      </c>
      <c r="I948" s="20" t="str">
        <f>IF(LEN(G948)=0,"",VLOOKUP(G948,Issues!A:D,3,FALSE))</f>
        <v>Baja con éxito.</v>
      </c>
      <c r="J948" s="19" t="str">
        <f>IF(LEN(G948)=0,"",VLOOKUP(G948,Issues!A:D,4,FALSE))</f>
        <v>Prueba OK</v>
      </c>
      <c r="K948" s="21" t="str">
        <f t="shared" si="44"/>
        <v>OK</v>
      </c>
    </row>
    <row r="949" spans="1:11" x14ac:dyDescent="0.35">
      <c r="A949" s="23">
        <v>46041</v>
      </c>
      <c r="B949" s="19" t="str">
        <f t="shared" si="43"/>
        <v>enero</v>
      </c>
      <c r="C949" s="19" t="str">
        <f t="shared" si="45"/>
        <v>2026</v>
      </c>
      <c r="D949" s="25" t="s">
        <v>205</v>
      </c>
      <c r="E949" s="25" t="s">
        <v>12</v>
      </c>
      <c r="F949" s="25" t="s">
        <v>169</v>
      </c>
      <c r="G949" s="24">
        <v>800</v>
      </c>
      <c r="H949" s="19" t="str">
        <f>IF(LEN(G949)=0,"",VLOOKUP(G949,Issues!A:D,2,FALSE))</f>
        <v>(800) Politicas especiales operadores</v>
      </c>
      <c r="I949" s="20" t="str">
        <f>IF(LEN(G949)=0,"",VLOOKUP(G949,Issues!A:D,3,FALSE))</f>
        <v>Politicas de los operadores cumplidas.</v>
      </c>
      <c r="J949" s="19" t="str">
        <f>IF(LEN(G949)=0,"",VLOOKUP(G949,Issues!A:D,4,FALSE))</f>
        <v>Prueba OK</v>
      </c>
      <c r="K949" s="21" t="str">
        <f t="shared" si="44"/>
        <v>OK</v>
      </c>
    </row>
    <row r="950" spans="1:11" x14ac:dyDescent="0.35">
      <c r="A950" s="23">
        <v>46056</v>
      </c>
      <c r="B950" s="19" t="str">
        <f t="shared" si="43"/>
        <v>febrero</v>
      </c>
      <c r="C950" s="19" t="str">
        <f t="shared" si="45"/>
        <v>2026</v>
      </c>
      <c r="D950" s="25" t="s">
        <v>207</v>
      </c>
      <c r="E950" s="25" t="s">
        <v>18</v>
      </c>
      <c r="F950" s="25" t="s">
        <v>183</v>
      </c>
      <c r="G950" s="24">
        <v>108</v>
      </c>
      <c r="H950" s="19" t="str">
        <f>IF(LEN(G950)=0,"",VLOOKUP(G950,Issues!A:D,2,FALSE))</f>
        <v>(100)  Alta</v>
      </c>
      <c r="I950" s="20" t="str">
        <f>IF(LEN(G950)=0,"",VLOOKUP(G950,Issues!A:D,3,FALSE))</f>
        <v>Inconsistencias en t&amp;c en la lp.</v>
      </c>
      <c r="J950" s="19" t="str">
        <f>IF(LEN(G950)=0,"",VLOOKUP(G950,Issues!A:D,4,FALSE))</f>
        <v>Critico</v>
      </c>
      <c r="K950" s="21" t="str">
        <f t="shared" si="44"/>
        <v>Issue</v>
      </c>
    </row>
    <row r="951" spans="1:11" x14ac:dyDescent="0.35">
      <c r="A951" s="23">
        <v>46024</v>
      </c>
      <c r="B951" s="19" t="str">
        <f t="shared" si="43"/>
        <v>enero</v>
      </c>
      <c r="C951" s="19" t="str">
        <f t="shared" si="45"/>
        <v>2026</v>
      </c>
      <c r="D951" s="25" t="s">
        <v>206</v>
      </c>
      <c r="E951" s="25" t="s">
        <v>20</v>
      </c>
      <c r="F951" s="25" t="s">
        <v>190</v>
      </c>
      <c r="G951" s="24">
        <v>304</v>
      </c>
      <c r="H951" s="19" t="str">
        <f>IF(LEN(G951)=0,"",VLOOKUP(G951,Issues!A:D,2,FALSE))</f>
        <v>(300) Cobros</v>
      </c>
      <c r="I951" s="20" t="str">
        <f>IF(LEN(G951)=0,"",VLOOKUP(G951,Issues!A:D,3,FALSE))</f>
        <v>Cobro valor diferente al autorizado.</v>
      </c>
      <c r="J951" s="19" t="str">
        <f>IF(LEN(G951)=0,"",VLOOKUP(G951,Issues!A:D,4,FALSE))</f>
        <v>Critico</v>
      </c>
      <c r="K951" s="21" t="str">
        <f t="shared" si="44"/>
        <v>Issue</v>
      </c>
    </row>
    <row r="952" spans="1:11" x14ac:dyDescent="0.35">
      <c r="A952" s="23">
        <v>46107</v>
      </c>
      <c r="B952" s="19" t="str">
        <f t="shared" si="43"/>
        <v>marzo</v>
      </c>
      <c r="C952" s="19" t="str">
        <f t="shared" si="45"/>
        <v>2026</v>
      </c>
      <c r="D952" s="25" t="s">
        <v>208</v>
      </c>
      <c r="E952" s="25" t="s">
        <v>16</v>
      </c>
      <c r="F952" s="25" t="s">
        <v>178</v>
      </c>
      <c r="G952" s="24">
        <v>202</v>
      </c>
      <c r="H952" s="19" t="str">
        <f>IF(LEN(G952)=0,"",VLOOKUP(G952,Issues!A:D,2,FALSE))</f>
        <v>(200) Contenidos</v>
      </c>
      <c r="I952" s="20" t="str">
        <f>IF(LEN(G952)=0,"",VLOOKUP(G952,Issues!A:D,3,FALSE))</f>
        <v>Inconsistencias en textos/fraseologia sms.</v>
      </c>
      <c r="J952" s="19" t="str">
        <f>IF(LEN(G952)=0,"",VLOOKUP(G952,Issues!A:D,4,FALSE))</f>
        <v>Medio</v>
      </c>
      <c r="K952" s="21" t="str">
        <f t="shared" si="44"/>
        <v>Issue</v>
      </c>
    </row>
    <row r="953" spans="1:11" x14ac:dyDescent="0.35">
      <c r="A953" s="23">
        <v>46140</v>
      </c>
      <c r="B953" s="19" t="str">
        <f t="shared" si="43"/>
        <v>abril</v>
      </c>
      <c r="C953" s="19" t="str">
        <f t="shared" si="45"/>
        <v>2026</v>
      </c>
      <c r="D953" s="25" t="s">
        <v>206</v>
      </c>
      <c r="E953" s="25" t="s">
        <v>25</v>
      </c>
      <c r="F953" s="25" t="s">
        <v>197</v>
      </c>
      <c r="G953" s="24">
        <v>407</v>
      </c>
      <c r="H953" s="19" t="str">
        <f>IF(LEN(G953)=0,"",VLOOKUP(G953,Issues!A:D,2,FALSE))</f>
        <v>(400) Portales / Web-App</v>
      </c>
      <c r="I953" s="20" t="str">
        <f>IF(LEN(G953)=0,"",VLOOKUP(G953,Issues!A:D,3,FALSE))</f>
        <v>No funciona la interaccion.</v>
      </c>
      <c r="J953" s="19" t="str">
        <f>IF(LEN(G953)=0,"",VLOOKUP(G953,Issues!A:D,4,FALSE))</f>
        <v>Critico</v>
      </c>
      <c r="K953" s="21" t="str">
        <f t="shared" si="44"/>
        <v>Issue</v>
      </c>
    </row>
    <row r="954" spans="1:11" x14ac:dyDescent="0.35">
      <c r="A954" s="23">
        <v>46138</v>
      </c>
      <c r="B954" s="19" t="str">
        <f t="shared" si="43"/>
        <v>abril</v>
      </c>
      <c r="C954" s="19" t="str">
        <f t="shared" si="45"/>
        <v>2026</v>
      </c>
      <c r="D954" s="25" t="s">
        <v>208</v>
      </c>
      <c r="E954" s="25" t="s">
        <v>17</v>
      </c>
      <c r="F954" s="25" t="s">
        <v>181</v>
      </c>
      <c r="G954" s="24">
        <v>300</v>
      </c>
      <c r="H954" s="19" t="str">
        <f>IF(LEN(G954)=0,"",VLOOKUP(G954,Issues!A:D,2,FALSE))</f>
        <v>(300) Cobros</v>
      </c>
      <c r="I954" s="20" t="str">
        <f>IF(LEN(G954)=0,"",VLOOKUP(G954,Issues!A:D,3,FALSE))</f>
        <v>Cobro en valor y forma correcto.</v>
      </c>
      <c r="J954" s="19" t="str">
        <f>IF(LEN(G954)=0,"",VLOOKUP(G954,Issues!A:D,4,FALSE))</f>
        <v>Prueba OK</v>
      </c>
      <c r="K954" s="21" t="str">
        <f t="shared" si="44"/>
        <v>OK</v>
      </c>
    </row>
    <row r="955" spans="1:11" x14ac:dyDescent="0.35">
      <c r="A955" s="23">
        <v>46132</v>
      </c>
      <c r="B955" s="19" t="str">
        <f t="shared" si="43"/>
        <v>abril</v>
      </c>
      <c r="C955" s="19" t="str">
        <f t="shared" si="45"/>
        <v>2026</v>
      </c>
      <c r="D955" s="25" t="s">
        <v>207</v>
      </c>
      <c r="E955" s="25" t="s">
        <v>17</v>
      </c>
      <c r="F955" s="25" t="s">
        <v>179</v>
      </c>
      <c r="G955" s="24">
        <v>102</v>
      </c>
      <c r="H955" s="19" t="str">
        <f>IF(LEN(G955)=0,"",VLOOKUP(G955,Issues!A:D,2,FALSE))</f>
        <v>(100)  Alta</v>
      </c>
      <c r="I955" s="20" t="str">
        <f>IF(LEN(G955)=0,"",VLOOKUP(G955,Issues!A:D,3,FALSE))</f>
        <v>Falla en doble optin en sms.</v>
      </c>
      <c r="J955" s="19" t="str">
        <f>IF(LEN(G955)=0,"",VLOOKUP(G955,Issues!A:D,4,FALSE))</f>
        <v>Critico</v>
      </c>
      <c r="K955" s="21" t="str">
        <f t="shared" si="44"/>
        <v>Issue</v>
      </c>
    </row>
    <row r="956" spans="1:11" x14ac:dyDescent="0.35">
      <c r="A956" s="23">
        <v>46051</v>
      </c>
      <c r="B956" s="19" t="str">
        <f t="shared" si="43"/>
        <v>enero</v>
      </c>
      <c r="C956" s="19" t="str">
        <f t="shared" si="45"/>
        <v>2026</v>
      </c>
      <c r="D956" s="25" t="s">
        <v>207</v>
      </c>
      <c r="E956" s="25" t="s">
        <v>14</v>
      </c>
      <c r="F956" s="25" t="s">
        <v>170</v>
      </c>
      <c r="G956" s="24">
        <v>100</v>
      </c>
      <c r="H956" s="19" t="str">
        <f>IF(LEN(G956)=0,"",VLOOKUP(G956,Issues!A:D,2,FALSE))</f>
        <v>(100)  Alta</v>
      </c>
      <c r="I956" s="20" t="str">
        <f>IF(LEN(G956)=0,"",VLOOKUP(G956,Issues!A:D,3,FALSE))</f>
        <v>Alta con éxito.</v>
      </c>
      <c r="J956" s="19" t="str">
        <f>IF(LEN(G956)=0,"",VLOOKUP(G956,Issues!A:D,4,FALSE))</f>
        <v>Prueba OK</v>
      </c>
      <c r="K956" s="21" t="str">
        <f t="shared" si="44"/>
        <v>OK</v>
      </c>
    </row>
    <row r="957" spans="1:11" x14ac:dyDescent="0.35">
      <c r="A957" s="23">
        <v>46032</v>
      </c>
      <c r="B957" s="19" t="str">
        <f t="shared" si="43"/>
        <v>enero</v>
      </c>
      <c r="C957" s="19" t="str">
        <f t="shared" si="45"/>
        <v>2026</v>
      </c>
      <c r="D957" s="25" t="s">
        <v>207</v>
      </c>
      <c r="E957" s="25" t="s">
        <v>13</v>
      </c>
      <c r="F957" s="25" t="s">
        <v>153</v>
      </c>
      <c r="G957" s="24">
        <v>100</v>
      </c>
      <c r="H957" s="19" t="str">
        <f>IF(LEN(G957)=0,"",VLOOKUP(G957,Issues!A:D,2,FALSE))</f>
        <v>(100)  Alta</v>
      </c>
      <c r="I957" s="20" t="str">
        <f>IF(LEN(G957)=0,"",VLOOKUP(G957,Issues!A:D,3,FALSE))</f>
        <v>Alta con éxito.</v>
      </c>
      <c r="J957" s="19" t="str">
        <f>IF(LEN(G957)=0,"",VLOOKUP(G957,Issues!A:D,4,FALSE))</f>
        <v>Prueba OK</v>
      </c>
      <c r="K957" s="21" t="str">
        <f t="shared" si="44"/>
        <v>OK</v>
      </c>
    </row>
    <row r="958" spans="1:11" x14ac:dyDescent="0.35">
      <c r="A958" s="23">
        <v>46026</v>
      </c>
      <c r="B958" s="19" t="str">
        <f t="shared" si="43"/>
        <v>enero</v>
      </c>
      <c r="C958" s="19" t="str">
        <f t="shared" si="45"/>
        <v>2026</v>
      </c>
      <c r="D958" s="25" t="s">
        <v>208</v>
      </c>
      <c r="E958" s="25" t="s">
        <v>14</v>
      </c>
      <c r="F958" s="25" t="s">
        <v>172</v>
      </c>
      <c r="G958" s="24">
        <v>402</v>
      </c>
      <c r="H958" s="19" t="str">
        <f>IF(LEN(G958)=0,"",VLOOKUP(G958,Issues!A:D,2,FALSE))</f>
        <v>(400) Portales / Web-App</v>
      </c>
      <c r="I958" s="20" t="str">
        <f>IF(LEN(G958)=0,"",VLOOKUP(G958,Issues!A:D,3,FALSE))</f>
        <v>Portal / web-app caida.</v>
      </c>
      <c r="J958" s="19" t="str">
        <f>IF(LEN(G958)=0,"",VLOOKUP(G958,Issues!A:D,4,FALSE))</f>
        <v>Critico</v>
      </c>
      <c r="K958" s="21" t="str">
        <f t="shared" si="44"/>
        <v>Issue</v>
      </c>
    </row>
    <row r="959" spans="1:11" x14ac:dyDescent="0.35">
      <c r="A959" s="23">
        <v>46040</v>
      </c>
      <c r="B959" s="19" t="str">
        <f t="shared" si="43"/>
        <v>enero</v>
      </c>
      <c r="C959" s="19" t="str">
        <f t="shared" si="45"/>
        <v>2026</v>
      </c>
      <c r="D959" s="25" t="s">
        <v>207</v>
      </c>
      <c r="E959" s="25" t="s">
        <v>27</v>
      </c>
      <c r="F959" s="25" t="s">
        <v>201</v>
      </c>
      <c r="G959" s="24">
        <v>401</v>
      </c>
      <c r="H959" s="19" t="str">
        <f>IF(LEN(G959)=0,"",VLOOKUP(G959,Issues!A:D,2,FALSE))</f>
        <v>(400) Portales / Web-App</v>
      </c>
      <c r="I959" s="20" t="str">
        <f>IF(LEN(G959)=0,"",VLOOKUP(G959,Issues!A:D,3,FALSE))</f>
        <v>Problemas con las credenciales y acceso a portal / web-app.</v>
      </c>
      <c r="J959" s="19" t="str">
        <f>IF(LEN(G959)=0,"",VLOOKUP(G959,Issues!A:D,4,FALSE))</f>
        <v>Critico</v>
      </c>
      <c r="K959" s="21" t="str">
        <f t="shared" si="44"/>
        <v>Issue</v>
      </c>
    </row>
    <row r="960" spans="1:11" x14ac:dyDescent="0.35">
      <c r="A960" s="23">
        <v>46044</v>
      </c>
      <c r="B960" s="19" t="str">
        <f t="shared" si="43"/>
        <v>enero</v>
      </c>
      <c r="C960" s="19" t="str">
        <f t="shared" si="45"/>
        <v>2026</v>
      </c>
      <c r="D960" s="25" t="s">
        <v>207</v>
      </c>
      <c r="E960" s="25" t="s">
        <v>27</v>
      </c>
      <c r="F960" s="25" t="s">
        <v>200</v>
      </c>
      <c r="G960" s="24">
        <v>200</v>
      </c>
      <c r="H960" s="19" t="str">
        <f>IF(LEN(G960)=0,"",VLOOKUP(G960,Issues!A:D,2,FALSE))</f>
        <v>(200) Contenidos</v>
      </c>
      <c r="I960" s="20" t="str">
        <f>IF(LEN(G960)=0,"",VLOOKUP(G960,Issues!A:D,3,FALSE))</f>
        <v>Contenidos recibido con éxito.</v>
      </c>
      <c r="J960" s="19" t="str">
        <f>IF(LEN(G960)=0,"",VLOOKUP(G960,Issues!A:D,4,FALSE))</f>
        <v>Prueba OK</v>
      </c>
      <c r="K960" s="21" t="str">
        <f t="shared" si="44"/>
        <v>OK</v>
      </c>
    </row>
    <row r="961" spans="1:11" x14ac:dyDescent="0.35">
      <c r="A961" s="23">
        <v>46119</v>
      </c>
      <c r="B961" s="19" t="str">
        <f t="shared" si="43"/>
        <v>abril</v>
      </c>
      <c r="C961" s="19" t="str">
        <f t="shared" si="45"/>
        <v>2026</v>
      </c>
      <c r="D961" s="25" t="s">
        <v>208</v>
      </c>
      <c r="E961" s="25" t="s">
        <v>26</v>
      </c>
      <c r="F961" s="25" t="s">
        <v>152</v>
      </c>
      <c r="G961" s="24">
        <v>405</v>
      </c>
      <c r="H961" s="19" t="str">
        <f>IF(LEN(G961)=0,"",VLOOKUP(G961,Issues!A:D,2,FALSE))</f>
        <v>(400) Portales / Web-App</v>
      </c>
      <c r="I961" s="20" t="str">
        <f>IF(LEN(G961)=0,"",VLOOKUP(G961,Issues!A:D,3,FALSE))</f>
        <v>Problemas de estructura o textos del portal o web-app.</v>
      </c>
      <c r="J961" s="19" t="str">
        <f>IF(LEN(G961)=0,"",VLOOKUP(G961,Issues!A:D,4,FALSE))</f>
        <v>Medio</v>
      </c>
      <c r="K961" s="21" t="str">
        <f t="shared" si="44"/>
        <v>Issue</v>
      </c>
    </row>
    <row r="962" spans="1:11" x14ac:dyDescent="0.35">
      <c r="A962" s="23">
        <v>46126</v>
      </c>
      <c r="B962" s="19" t="str">
        <f t="shared" si="43"/>
        <v>abril</v>
      </c>
      <c r="C962" s="19" t="str">
        <f t="shared" si="45"/>
        <v>2026</v>
      </c>
      <c r="D962" s="25" t="s">
        <v>206</v>
      </c>
      <c r="E962" s="25" t="s">
        <v>11</v>
      </c>
      <c r="F962" s="25" t="s">
        <v>164</v>
      </c>
      <c r="G962" s="24">
        <v>300</v>
      </c>
      <c r="H962" s="19" t="str">
        <f>IF(LEN(G962)=0,"",VLOOKUP(G962,Issues!A:D,2,FALSE))</f>
        <v>(300) Cobros</v>
      </c>
      <c r="I962" s="20" t="str">
        <f>IF(LEN(G962)=0,"",VLOOKUP(G962,Issues!A:D,3,FALSE))</f>
        <v>Cobro en valor y forma correcto.</v>
      </c>
      <c r="J962" s="19" t="str">
        <f>IF(LEN(G962)=0,"",VLOOKUP(G962,Issues!A:D,4,FALSE))</f>
        <v>Prueba OK</v>
      </c>
      <c r="K962" s="21" t="str">
        <f t="shared" si="44"/>
        <v>OK</v>
      </c>
    </row>
    <row r="963" spans="1:11" x14ac:dyDescent="0.35">
      <c r="A963" s="23">
        <v>46154</v>
      </c>
      <c r="B963" s="19" t="str">
        <f t="shared" ref="B963:B1001" si="46">IF(LEN(A963)=0,"",TEXT(A963,"mmmm"))</f>
        <v>mayo</v>
      </c>
      <c r="C963" s="19" t="str">
        <f t="shared" si="45"/>
        <v>2026</v>
      </c>
      <c r="D963" s="25" t="s">
        <v>207</v>
      </c>
      <c r="E963" s="25" t="s">
        <v>27</v>
      </c>
      <c r="F963" s="25" t="s">
        <v>200</v>
      </c>
      <c r="G963" s="24">
        <v>306</v>
      </c>
      <c r="H963" s="19" t="str">
        <f>IF(LEN(G963)=0,"",VLOOKUP(G963,Issues!A:D,2,FALSE))</f>
        <v>(300) Cobros</v>
      </c>
      <c r="I963" s="20" t="str">
        <f>IF(LEN(G963)=0,"",VLOOKUP(G963,Issues!A:D,3,FALSE))</f>
        <v>Inconsistencias en la recurrencia del cobro.</v>
      </c>
      <c r="J963" s="19" t="str">
        <f>IF(LEN(G963)=0,"",VLOOKUP(G963,Issues!A:D,4,FALSE))</f>
        <v>Critico</v>
      </c>
      <c r="K963" s="21" t="str">
        <f t="shared" ref="K963:K1001" si="47">IF(LEN(G963)=0,"",IF(OR(J963="critico",J963="Medio",J963="Bajo"),"Issue",IF(J963="Prueba OK","OK","")))</f>
        <v>Issue</v>
      </c>
    </row>
    <row r="964" spans="1:11" x14ac:dyDescent="0.35">
      <c r="A964" s="23">
        <v>46099</v>
      </c>
      <c r="B964" s="19" t="str">
        <f t="shared" si="46"/>
        <v>marzo</v>
      </c>
      <c r="C964" s="19" t="str">
        <f t="shared" si="45"/>
        <v>2026</v>
      </c>
      <c r="D964" s="25" t="s">
        <v>206</v>
      </c>
      <c r="E964" s="25" t="s">
        <v>27</v>
      </c>
      <c r="F964" s="25" t="s">
        <v>202</v>
      </c>
      <c r="G964" s="24">
        <v>300</v>
      </c>
      <c r="H964" s="19" t="str">
        <f>IF(LEN(G964)=0,"",VLOOKUP(G964,Issues!A:D,2,FALSE))</f>
        <v>(300) Cobros</v>
      </c>
      <c r="I964" s="20" t="str">
        <f>IF(LEN(G964)=0,"",VLOOKUP(G964,Issues!A:D,3,FALSE))</f>
        <v>Cobro en valor y forma correcto.</v>
      </c>
      <c r="J964" s="19" t="str">
        <f>IF(LEN(G964)=0,"",VLOOKUP(G964,Issues!A:D,4,FALSE))</f>
        <v>Prueba OK</v>
      </c>
      <c r="K964" s="21" t="str">
        <f t="shared" si="47"/>
        <v>OK</v>
      </c>
    </row>
    <row r="965" spans="1:11" x14ac:dyDescent="0.35">
      <c r="A965" s="23">
        <v>46058</v>
      </c>
      <c r="B965" s="19" t="str">
        <f t="shared" si="46"/>
        <v>febrero</v>
      </c>
      <c r="C965" s="19" t="str">
        <f t="shared" si="45"/>
        <v>2026</v>
      </c>
      <c r="D965" s="25" t="s">
        <v>206</v>
      </c>
      <c r="E965" s="25" t="s">
        <v>19</v>
      </c>
      <c r="F965" s="25" t="s">
        <v>187</v>
      </c>
      <c r="G965" s="24">
        <v>300</v>
      </c>
      <c r="H965" s="19" t="str">
        <f>IF(LEN(G965)=0,"",VLOOKUP(G965,Issues!A:D,2,FALSE))</f>
        <v>(300) Cobros</v>
      </c>
      <c r="I965" s="20" t="str">
        <f>IF(LEN(G965)=0,"",VLOOKUP(G965,Issues!A:D,3,FALSE))</f>
        <v>Cobro en valor y forma correcto.</v>
      </c>
      <c r="J965" s="19" t="str">
        <f>IF(LEN(G965)=0,"",VLOOKUP(G965,Issues!A:D,4,FALSE))</f>
        <v>Prueba OK</v>
      </c>
      <c r="K965" s="21" t="str">
        <f t="shared" si="47"/>
        <v>OK</v>
      </c>
    </row>
    <row r="966" spans="1:11" x14ac:dyDescent="0.35">
      <c r="A966" s="23">
        <v>46155</v>
      </c>
      <c r="B966" s="19" t="str">
        <f t="shared" si="46"/>
        <v>mayo</v>
      </c>
      <c r="C966" s="19" t="str">
        <f t="shared" si="45"/>
        <v>2026</v>
      </c>
      <c r="D966" s="25" t="s">
        <v>207</v>
      </c>
      <c r="E966" s="25" t="s">
        <v>22</v>
      </c>
      <c r="F966" s="25" t="s">
        <v>154</v>
      </c>
      <c r="G966" s="24">
        <v>302</v>
      </c>
      <c r="H966" s="19" t="str">
        <f>IF(LEN(G966)=0,"",VLOOKUP(G966,Issues!A:D,2,FALSE))</f>
        <v>(300) Cobros</v>
      </c>
      <c r="I966" s="20" t="str">
        <f>IF(LEN(G966)=0,"",VLOOKUP(G966,Issues!A:D,3,FALSE))</f>
        <v>No llego contenido (no hubo cobro).</v>
      </c>
      <c r="J966" s="19" t="str">
        <f>IF(LEN(G966)=0,"",VLOOKUP(G966,Issues!A:D,4,FALSE))</f>
        <v>Critico</v>
      </c>
      <c r="K966" s="21" t="str">
        <f t="shared" si="47"/>
        <v>Issue</v>
      </c>
    </row>
    <row r="967" spans="1:11" x14ac:dyDescent="0.35">
      <c r="A967" s="23">
        <v>46145</v>
      </c>
      <c r="B967" s="19" t="str">
        <f t="shared" si="46"/>
        <v>mayo</v>
      </c>
      <c r="C967" s="19" t="str">
        <f t="shared" si="45"/>
        <v>2026</v>
      </c>
      <c r="D967" s="25" t="s">
        <v>207</v>
      </c>
      <c r="E967" s="25" t="s">
        <v>16</v>
      </c>
      <c r="F967" s="25" t="s">
        <v>176</v>
      </c>
      <c r="G967" s="24">
        <v>210</v>
      </c>
      <c r="H967" s="19" t="str">
        <f>IF(LEN(G967)=0,"",VLOOKUP(G967,Issues!A:D,2,FALSE))</f>
        <v>(200) Contenidos</v>
      </c>
      <c r="I967" s="20" t="str">
        <f>IF(LEN(G967)=0,"",VLOOKUP(G967,Issues!A:D,3,FALSE))</f>
        <v>Contenido no apropiado - fuera de las politicas del operador.</v>
      </c>
      <c r="J967" s="19" t="str">
        <f>IF(LEN(G967)=0,"",VLOOKUP(G967,Issues!A:D,4,FALSE))</f>
        <v>Critico</v>
      </c>
      <c r="K967" s="21" t="str">
        <f t="shared" si="47"/>
        <v>Issue</v>
      </c>
    </row>
    <row r="968" spans="1:11" x14ac:dyDescent="0.35">
      <c r="A968" s="23">
        <v>46108</v>
      </c>
      <c r="B968" s="19" t="str">
        <f t="shared" si="46"/>
        <v>marzo</v>
      </c>
      <c r="C968" s="19" t="str">
        <f t="shared" si="45"/>
        <v>2026</v>
      </c>
      <c r="D968" s="25" t="s">
        <v>208</v>
      </c>
      <c r="E968" s="25" t="s">
        <v>27</v>
      </c>
      <c r="F968" s="25" t="s">
        <v>200</v>
      </c>
      <c r="G968" s="24">
        <v>111</v>
      </c>
      <c r="H968" s="19" t="str">
        <f>IF(LEN(G968)=0,"",VLOOKUP(G968,Issues!A:D,2,FALSE))</f>
        <v>(100)  Alta</v>
      </c>
      <c r="I968" s="20" t="str">
        <f>IF(LEN(G968)=0,"",VLOOKUP(G968,Issues!A:D,3,FALSE))</f>
        <v>Falla en alta a traves de sim.</v>
      </c>
      <c r="J968" s="19" t="str">
        <f>IF(LEN(G968)=0,"",VLOOKUP(G968,Issues!A:D,4,FALSE))</f>
        <v>Critico</v>
      </c>
      <c r="K968" s="21" t="str">
        <f t="shared" si="47"/>
        <v>Issue</v>
      </c>
    </row>
    <row r="969" spans="1:11" x14ac:dyDescent="0.35">
      <c r="A969" s="23">
        <v>46081</v>
      </c>
      <c r="B969" s="19" t="str">
        <f t="shared" si="46"/>
        <v>febrero</v>
      </c>
      <c r="C969" s="19" t="str">
        <f t="shared" si="45"/>
        <v>2026</v>
      </c>
      <c r="D969" s="25" t="s">
        <v>206</v>
      </c>
      <c r="E969" s="25" t="s">
        <v>25</v>
      </c>
      <c r="F969" s="25" t="s">
        <v>198</v>
      </c>
      <c r="G969" s="24">
        <v>405</v>
      </c>
      <c r="H969" s="19" t="str">
        <f>IF(LEN(G969)=0,"",VLOOKUP(G969,Issues!A:D,2,FALSE))</f>
        <v>(400) Portales / Web-App</v>
      </c>
      <c r="I969" s="20" t="str">
        <f>IF(LEN(G969)=0,"",VLOOKUP(G969,Issues!A:D,3,FALSE))</f>
        <v>Problemas de estructura o textos del portal o web-app.</v>
      </c>
      <c r="J969" s="19" t="str">
        <f>IF(LEN(G969)=0,"",VLOOKUP(G969,Issues!A:D,4,FALSE))</f>
        <v>Medio</v>
      </c>
      <c r="K969" s="21" t="str">
        <f t="shared" si="47"/>
        <v>Issue</v>
      </c>
    </row>
    <row r="970" spans="1:11" x14ac:dyDescent="0.35">
      <c r="A970" s="23">
        <v>46095</v>
      </c>
      <c r="B970" s="19" t="str">
        <f t="shared" si="46"/>
        <v>marzo</v>
      </c>
      <c r="C970" s="19" t="str">
        <f t="shared" si="45"/>
        <v>2026</v>
      </c>
      <c r="D970" s="25" t="s">
        <v>207</v>
      </c>
      <c r="E970" s="25" t="s">
        <v>14</v>
      </c>
      <c r="F970" s="25" t="s">
        <v>170</v>
      </c>
      <c r="G970" s="24">
        <v>208</v>
      </c>
      <c r="H970" s="19" t="str">
        <f>IF(LEN(G970)=0,"",VLOOKUP(G970,Issues!A:D,2,FALSE))</f>
        <v>(200) Contenidos</v>
      </c>
      <c r="I970" s="20" t="str">
        <f>IF(LEN(G970)=0,"",VLOOKUP(G970,Issues!A:D,3,FALSE))</f>
        <v>No cumple las politicas de estructura del operador.</v>
      </c>
      <c r="J970" s="19" t="str">
        <f>IF(LEN(G970)=0,"",VLOOKUP(G970,Issues!A:D,4,FALSE))</f>
        <v>Critico</v>
      </c>
      <c r="K970" s="21" t="str">
        <f t="shared" si="47"/>
        <v>Issue</v>
      </c>
    </row>
    <row r="971" spans="1:11" x14ac:dyDescent="0.35">
      <c r="A971" s="23">
        <v>46128</v>
      </c>
      <c r="B971" s="19" t="str">
        <f t="shared" si="46"/>
        <v>abril</v>
      </c>
      <c r="C971" s="19" t="str">
        <f t="shared" si="45"/>
        <v>2026</v>
      </c>
      <c r="D971" s="25" t="s">
        <v>206</v>
      </c>
      <c r="E971" s="25" t="s">
        <v>18</v>
      </c>
      <c r="F971" s="25" t="s">
        <v>183</v>
      </c>
      <c r="G971" s="24">
        <v>200</v>
      </c>
      <c r="H971" s="19" t="str">
        <f>IF(LEN(G971)=0,"",VLOOKUP(G971,Issues!A:D,2,FALSE))</f>
        <v>(200) Contenidos</v>
      </c>
      <c r="I971" s="20" t="str">
        <f>IF(LEN(G971)=0,"",VLOOKUP(G971,Issues!A:D,3,FALSE))</f>
        <v>Contenidos recibido con éxito.</v>
      </c>
      <c r="J971" s="19" t="str">
        <f>IF(LEN(G971)=0,"",VLOOKUP(G971,Issues!A:D,4,FALSE))</f>
        <v>Prueba OK</v>
      </c>
      <c r="K971" s="21" t="str">
        <f t="shared" si="47"/>
        <v>OK</v>
      </c>
    </row>
    <row r="972" spans="1:11" x14ac:dyDescent="0.35">
      <c r="A972" s="23">
        <v>46089</v>
      </c>
      <c r="B972" s="19" t="str">
        <f t="shared" si="46"/>
        <v>marzo</v>
      </c>
      <c r="C972" s="19" t="str">
        <f t="shared" si="45"/>
        <v>2026</v>
      </c>
      <c r="D972" s="25" t="s">
        <v>207</v>
      </c>
      <c r="E972" s="25" t="s">
        <v>11</v>
      </c>
      <c r="F972" s="25" t="s">
        <v>165</v>
      </c>
      <c r="G972" s="24">
        <v>800</v>
      </c>
      <c r="H972" s="19" t="str">
        <f>IF(LEN(G972)=0,"",VLOOKUP(G972,Issues!A:D,2,FALSE))</f>
        <v>(800) Politicas especiales operadores</v>
      </c>
      <c r="I972" s="20" t="str">
        <f>IF(LEN(G972)=0,"",VLOOKUP(G972,Issues!A:D,3,FALSE))</f>
        <v>Politicas de los operadores cumplidas.</v>
      </c>
      <c r="J972" s="19" t="str">
        <f>IF(LEN(G972)=0,"",VLOOKUP(G972,Issues!A:D,4,FALSE))</f>
        <v>Prueba OK</v>
      </c>
      <c r="K972" s="21" t="str">
        <f t="shared" si="47"/>
        <v>OK</v>
      </c>
    </row>
    <row r="973" spans="1:11" x14ac:dyDescent="0.35">
      <c r="A973" s="23">
        <v>46092</v>
      </c>
      <c r="B973" s="19" t="str">
        <f t="shared" si="46"/>
        <v>marzo</v>
      </c>
      <c r="C973" s="19" t="str">
        <f t="shared" si="45"/>
        <v>2026</v>
      </c>
      <c r="D973" s="25" t="s">
        <v>206</v>
      </c>
      <c r="E973" s="25" t="s">
        <v>14</v>
      </c>
      <c r="F973" s="25" t="s">
        <v>172</v>
      </c>
      <c r="G973" s="24">
        <v>108</v>
      </c>
      <c r="H973" s="19" t="str">
        <f>IF(LEN(G973)=0,"",VLOOKUP(G973,Issues!A:D,2,FALSE))</f>
        <v>(100)  Alta</v>
      </c>
      <c r="I973" s="20" t="str">
        <f>IF(LEN(G973)=0,"",VLOOKUP(G973,Issues!A:D,3,FALSE))</f>
        <v>Inconsistencias en t&amp;c en la lp.</v>
      </c>
      <c r="J973" s="19" t="str">
        <f>IF(LEN(G973)=0,"",VLOOKUP(G973,Issues!A:D,4,FALSE))</f>
        <v>Critico</v>
      </c>
      <c r="K973" s="21" t="str">
        <f t="shared" si="47"/>
        <v>Issue</v>
      </c>
    </row>
    <row r="974" spans="1:11" x14ac:dyDescent="0.35">
      <c r="A974" s="23">
        <v>46144</v>
      </c>
      <c r="B974" s="19" t="str">
        <f t="shared" si="46"/>
        <v>mayo</v>
      </c>
      <c r="C974" s="19" t="str">
        <f t="shared" si="45"/>
        <v>2026</v>
      </c>
      <c r="D974" s="25" t="s">
        <v>206</v>
      </c>
      <c r="E974" s="25" t="s">
        <v>10</v>
      </c>
      <c r="F974" s="25" t="s">
        <v>161</v>
      </c>
      <c r="G974" s="24">
        <v>700</v>
      </c>
      <c r="H974" s="19" t="str">
        <f>IF(LEN(G974)=0,"",VLOOKUP(G974,Issues!A:D,2,FALSE))</f>
        <v>(700) Interaccion MO/MT (On Demand)</v>
      </c>
      <c r="I974" s="20" t="str">
        <f>IF(LEN(G974)=0,"",VLOOKUP(G974,Issues!A:D,3,FALSE))</f>
        <v>Flujo MO/MT con éxito.</v>
      </c>
      <c r="J974" s="19" t="str">
        <f>IF(LEN(G974)=0,"",VLOOKUP(G974,Issues!A:D,4,FALSE))</f>
        <v>Prueba OK</v>
      </c>
      <c r="K974" s="21" t="str">
        <f t="shared" si="47"/>
        <v>OK</v>
      </c>
    </row>
    <row r="975" spans="1:11" x14ac:dyDescent="0.35">
      <c r="A975" s="23">
        <v>46156</v>
      </c>
      <c r="B975" s="19" t="str">
        <f t="shared" si="46"/>
        <v>mayo</v>
      </c>
      <c r="C975" s="19" t="str">
        <f t="shared" si="45"/>
        <v>2026</v>
      </c>
      <c r="D975" s="25" t="s">
        <v>207</v>
      </c>
      <c r="E975" s="25" t="s">
        <v>25</v>
      </c>
      <c r="F975" s="25" t="s">
        <v>199</v>
      </c>
      <c r="G975" s="24">
        <v>700</v>
      </c>
      <c r="H975" s="19" t="str">
        <f>IF(LEN(G975)=0,"",VLOOKUP(G975,Issues!A:D,2,FALSE))</f>
        <v>(700) Interaccion MO/MT (On Demand)</v>
      </c>
      <c r="I975" s="20" t="str">
        <f>IF(LEN(G975)=0,"",VLOOKUP(G975,Issues!A:D,3,FALSE))</f>
        <v>Flujo MO/MT con éxito.</v>
      </c>
      <c r="J975" s="19" t="str">
        <f>IF(LEN(G975)=0,"",VLOOKUP(G975,Issues!A:D,4,FALSE))</f>
        <v>Prueba OK</v>
      </c>
      <c r="K975" s="21" t="str">
        <f t="shared" si="47"/>
        <v>OK</v>
      </c>
    </row>
    <row r="976" spans="1:11" x14ac:dyDescent="0.35">
      <c r="A976" s="23">
        <v>46029</v>
      </c>
      <c r="B976" s="19" t="str">
        <f t="shared" si="46"/>
        <v>enero</v>
      </c>
      <c r="C976" s="19" t="str">
        <f t="shared" si="45"/>
        <v>2026</v>
      </c>
      <c r="D976" s="25" t="s">
        <v>206</v>
      </c>
      <c r="E976" s="25" t="s">
        <v>15</v>
      </c>
      <c r="F976" s="25" t="s">
        <v>175</v>
      </c>
      <c r="G976" s="24">
        <v>404</v>
      </c>
      <c r="H976" s="19" t="str">
        <f>IF(LEN(G976)=0,"",VLOOKUP(G976,Issues!A:D,2,FALSE))</f>
        <v>(400) Portales / Web-App</v>
      </c>
      <c r="I976" s="20" t="str">
        <f>IF(LEN(G976)=0,"",VLOOKUP(G976,Issues!A:D,3,FALSE))</f>
        <v>No cumple las politicas de estructura del operador.</v>
      </c>
      <c r="J976" s="19" t="str">
        <f>IF(LEN(G976)=0,"",VLOOKUP(G976,Issues!A:D,4,FALSE))</f>
        <v>Critico</v>
      </c>
      <c r="K976" s="21" t="str">
        <f t="shared" si="47"/>
        <v>Issue</v>
      </c>
    </row>
    <row r="977" spans="1:11" x14ac:dyDescent="0.35">
      <c r="A977" s="23">
        <v>46092</v>
      </c>
      <c r="B977" s="19" t="str">
        <f t="shared" si="46"/>
        <v>marzo</v>
      </c>
      <c r="C977" s="19" t="str">
        <f t="shared" si="45"/>
        <v>2026</v>
      </c>
      <c r="D977" s="25" t="s">
        <v>206</v>
      </c>
      <c r="E977" s="25" t="s">
        <v>19</v>
      </c>
      <c r="F977" s="25" t="s">
        <v>186</v>
      </c>
      <c r="G977" s="24">
        <v>300</v>
      </c>
      <c r="H977" s="19" t="str">
        <f>IF(LEN(G977)=0,"",VLOOKUP(G977,Issues!A:D,2,FALSE))</f>
        <v>(300) Cobros</v>
      </c>
      <c r="I977" s="20" t="str">
        <f>IF(LEN(G977)=0,"",VLOOKUP(G977,Issues!A:D,3,FALSE))</f>
        <v>Cobro en valor y forma correcto.</v>
      </c>
      <c r="J977" s="19" t="str">
        <f>IF(LEN(G977)=0,"",VLOOKUP(G977,Issues!A:D,4,FALSE))</f>
        <v>Prueba OK</v>
      </c>
      <c r="K977" s="21" t="str">
        <f t="shared" si="47"/>
        <v>OK</v>
      </c>
    </row>
    <row r="978" spans="1:11" x14ac:dyDescent="0.35">
      <c r="A978" s="23">
        <v>46041</v>
      </c>
      <c r="B978" s="19" t="str">
        <f t="shared" si="46"/>
        <v>enero</v>
      </c>
      <c r="C978" s="19" t="str">
        <f t="shared" si="45"/>
        <v>2026</v>
      </c>
      <c r="D978" s="25" t="s">
        <v>208</v>
      </c>
      <c r="E978" s="25" t="s">
        <v>21</v>
      </c>
      <c r="F978" s="25" t="s">
        <v>192</v>
      </c>
      <c r="G978" s="24">
        <v>101</v>
      </c>
      <c r="H978" s="19" t="str">
        <f>IF(LEN(G978)=0,"",VLOOKUP(G978,Issues!A:D,2,FALSE))</f>
        <v>(100)  Alta</v>
      </c>
      <c r="I978" s="20" t="str">
        <f>IF(LEN(G978)=0,"",VLOOKUP(G978,Issues!A:D,3,FALSE))</f>
        <v>No se genero el alta - no hay respuesta al kw.</v>
      </c>
      <c r="J978" s="19" t="str">
        <f>IF(LEN(G978)=0,"",VLOOKUP(G978,Issues!A:D,4,FALSE))</f>
        <v>Critico</v>
      </c>
      <c r="K978" s="21" t="str">
        <f t="shared" si="47"/>
        <v>Issue</v>
      </c>
    </row>
    <row r="979" spans="1:11" x14ac:dyDescent="0.35">
      <c r="A979" s="23">
        <v>46155</v>
      </c>
      <c r="B979" s="19" t="str">
        <f t="shared" si="46"/>
        <v>mayo</v>
      </c>
      <c r="C979" s="19" t="str">
        <f t="shared" ref="C979:C1001" si="48">IF(LEN(A979)=0,"",TEXT(A979,"aaaa"))</f>
        <v>2026</v>
      </c>
      <c r="D979" s="25" t="s">
        <v>210</v>
      </c>
      <c r="E979" s="25" t="s">
        <v>21</v>
      </c>
      <c r="F979" s="25" t="s">
        <v>193</v>
      </c>
      <c r="G979" s="24">
        <v>100</v>
      </c>
      <c r="H979" s="19" t="str">
        <f>IF(LEN(G979)=0,"",VLOOKUP(G979,Issues!A:D,2,FALSE))</f>
        <v>(100)  Alta</v>
      </c>
      <c r="I979" s="20" t="str">
        <f>IF(LEN(G979)=0,"",VLOOKUP(G979,Issues!A:D,3,FALSE))</f>
        <v>Alta con éxito.</v>
      </c>
      <c r="J979" s="19" t="str">
        <f>IF(LEN(G979)=0,"",VLOOKUP(G979,Issues!A:D,4,FALSE))</f>
        <v>Prueba OK</v>
      </c>
      <c r="K979" s="21" t="str">
        <f t="shared" si="47"/>
        <v>OK</v>
      </c>
    </row>
    <row r="980" spans="1:11" x14ac:dyDescent="0.35">
      <c r="A980" s="23">
        <v>46029</v>
      </c>
      <c r="B980" s="19" t="str">
        <f t="shared" si="46"/>
        <v>enero</v>
      </c>
      <c r="C980" s="19" t="str">
        <f t="shared" si="48"/>
        <v>2026</v>
      </c>
      <c r="D980" s="25" t="s">
        <v>207</v>
      </c>
      <c r="E980" s="25" t="s">
        <v>11</v>
      </c>
      <c r="F980" s="25" t="s">
        <v>164</v>
      </c>
      <c r="G980" s="24">
        <v>700</v>
      </c>
      <c r="H980" s="19" t="str">
        <f>IF(LEN(G980)=0,"",VLOOKUP(G980,Issues!A:D,2,FALSE))</f>
        <v>(700) Interaccion MO/MT (On Demand)</v>
      </c>
      <c r="I980" s="20" t="str">
        <f>IF(LEN(G980)=0,"",VLOOKUP(G980,Issues!A:D,3,FALSE))</f>
        <v>Flujo MO/MT con éxito.</v>
      </c>
      <c r="J980" s="19" t="str">
        <f>IF(LEN(G980)=0,"",VLOOKUP(G980,Issues!A:D,4,FALSE))</f>
        <v>Prueba OK</v>
      </c>
      <c r="K980" s="21" t="str">
        <f t="shared" si="47"/>
        <v>OK</v>
      </c>
    </row>
    <row r="981" spans="1:11" x14ac:dyDescent="0.35">
      <c r="A981" s="23">
        <v>46146</v>
      </c>
      <c r="B981" s="19" t="str">
        <f t="shared" si="46"/>
        <v>mayo</v>
      </c>
      <c r="C981" s="19" t="str">
        <f t="shared" si="48"/>
        <v>2026</v>
      </c>
      <c r="D981" s="25" t="s">
        <v>206</v>
      </c>
      <c r="E981" s="25" t="s">
        <v>14</v>
      </c>
      <c r="F981" s="25" t="s">
        <v>170</v>
      </c>
      <c r="G981" s="24">
        <v>112</v>
      </c>
      <c r="H981" s="19" t="str">
        <f>IF(LEN(G981)=0,"",VLOOKUP(G981,Issues!A:D,2,FALSE))</f>
        <v>(100)  Alta</v>
      </c>
      <c r="I981" s="20" t="str">
        <f>IF(LEN(G981)=0,"",VLOOKUP(G981,Issues!A:D,3,FALSE))</f>
        <v>Falla en alta a traves de tienda.</v>
      </c>
      <c r="J981" s="19" t="str">
        <f>IF(LEN(G981)=0,"",VLOOKUP(G981,Issues!A:D,4,FALSE))</f>
        <v>Critico</v>
      </c>
      <c r="K981" s="21" t="str">
        <f t="shared" si="47"/>
        <v>Issue</v>
      </c>
    </row>
    <row r="982" spans="1:11" x14ac:dyDescent="0.35">
      <c r="A982" s="23">
        <v>46047</v>
      </c>
      <c r="B982" s="19" t="str">
        <f t="shared" si="46"/>
        <v>enero</v>
      </c>
      <c r="C982" s="19" t="str">
        <f t="shared" si="48"/>
        <v>2026</v>
      </c>
      <c r="D982" s="25" t="s">
        <v>207</v>
      </c>
      <c r="E982" s="25" t="s">
        <v>15</v>
      </c>
      <c r="F982" s="25" t="s">
        <v>174</v>
      </c>
      <c r="G982" s="24">
        <v>400</v>
      </c>
      <c r="H982" s="19" t="str">
        <f>IF(LEN(G982)=0,"",VLOOKUP(G982,Issues!A:D,2,FALSE))</f>
        <v>(400) Portales / Web-App</v>
      </c>
      <c r="I982" s="20" t="str">
        <f>IF(LEN(G982)=0,"",VLOOKUP(G982,Issues!A:D,3,FALSE))</f>
        <v>Portal evaluado con éxito.</v>
      </c>
      <c r="J982" s="19" t="str">
        <f>IF(LEN(G982)=0,"",VLOOKUP(G982,Issues!A:D,4,FALSE))</f>
        <v>Prueba OK</v>
      </c>
      <c r="K982" s="21" t="str">
        <f t="shared" si="47"/>
        <v>OK</v>
      </c>
    </row>
    <row r="983" spans="1:11" x14ac:dyDescent="0.35">
      <c r="A983" s="23">
        <v>46042</v>
      </c>
      <c r="B983" s="19" t="str">
        <f t="shared" si="46"/>
        <v>enero</v>
      </c>
      <c r="C983" s="19" t="str">
        <f t="shared" si="48"/>
        <v>2026</v>
      </c>
      <c r="D983" s="25" t="s">
        <v>208</v>
      </c>
      <c r="E983" s="25" t="s">
        <v>18</v>
      </c>
      <c r="F983" s="25" t="s">
        <v>184</v>
      </c>
      <c r="G983" s="24">
        <v>400</v>
      </c>
      <c r="H983" s="19" t="str">
        <f>IF(LEN(G983)=0,"",VLOOKUP(G983,Issues!A:D,2,FALSE))</f>
        <v>(400) Portales / Web-App</v>
      </c>
      <c r="I983" s="20" t="str">
        <f>IF(LEN(G983)=0,"",VLOOKUP(G983,Issues!A:D,3,FALSE))</f>
        <v>Portal evaluado con éxito.</v>
      </c>
      <c r="J983" s="19" t="str">
        <f>IF(LEN(G983)=0,"",VLOOKUP(G983,Issues!A:D,4,FALSE))</f>
        <v>Prueba OK</v>
      </c>
      <c r="K983" s="21" t="str">
        <f t="shared" si="47"/>
        <v>OK</v>
      </c>
    </row>
    <row r="984" spans="1:11" x14ac:dyDescent="0.35">
      <c r="A984" s="23">
        <v>46130</v>
      </c>
      <c r="B984" s="19" t="str">
        <f t="shared" si="46"/>
        <v>abril</v>
      </c>
      <c r="C984" s="19" t="str">
        <f t="shared" si="48"/>
        <v>2026</v>
      </c>
      <c r="D984" s="25" t="s">
        <v>207</v>
      </c>
      <c r="E984" s="25" t="s">
        <v>10</v>
      </c>
      <c r="F984" s="25" t="s">
        <v>162</v>
      </c>
      <c r="G984" s="24">
        <v>200</v>
      </c>
      <c r="H984" s="19" t="str">
        <f>IF(LEN(G984)=0,"",VLOOKUP(G984,Issues!A:D,2,FALSE))</f>
        <v>(200) Contenidos</v>
      </c>
      <c r="I984" s="20" t="str">
        <f>IF(LEN(G984)=0,"",VLOOKUP(G984,Issues!A:D,3,FALSE))</f>
        <v>Contenidos recibido con éxito.</v>
      </c>
      <c r="J984" s="19" t="str">
        <f>IF(LEN(G984)=0,"",VLOOKUP(G984,Issues!A:D,4,FALSE))</f>
        <v>Prueba OK</v>
      </c>
      <c r="K984" s="21" t="str">
        <f t="shared" si="47"/>
        <v>OK</v>
      </c>
    </row>
    <row r="985" spans="1:11" x14ac:dyDescent="0.35">
      <c r="A985" s="23">
        <v>46065</v>
      </c>
      <c r="B985" s="19" t="str">
        <f t="shared" si="46"/>
        <v>febrero</v>
      </c>
      <c r="C985" s="19" t="str">
        <f t="shared" si="48"/>
        <v>2026</v>
      </c>
      <c r="D985" s="25" t="s">
        <v>206</v>
      </c>
      <c r="E985" s="25" t="s">
        <v>10</v>
      </c>
      <c r="F985" s="25" t="s">
        <v>163</v>
      </c>
      <c r="G985" s="24">
        <v>800</v>
      </c>
      <c r="H985" s="19" t="str">
        <f>IF(LEN(G985)=0,"",VLOOKUP(G985,Issues!A:D,2,FALSE))</f>
        <v>(800) Politicas especiales operadores</v>
      </c>
      <c r="I985" s="20" t="str">
        <f>IF(LEN(G985)=0,"",VLOOKUP(G985,Issues!A:D,3,FALSE))</f>
        <v>Politicas de los operadores cumplidas.</v>
      </c>
      <c r="J985" s="19" t="str">
        <f>IF(LEN(G985)=0,"",VLOOKUP(G985,Issues!A:D,4,FALSE))</f>
        <v>Prueba OK</v>
      </c>
      <c r="K985" s="21" t="str">
        <f t="shared" si="47"/>
        <v>OK</v>
      </c>
    </row>
    <row r="986" spans="1:11" x14ac:dyDescent="0.35">
      <c r="A986" s="23">
        <v>46074</v>
      </c>
      <c r="B986" s="19" t="str">
        <f t="shared" si="46"/>
        <v>febrero</v>
      </c>
      <c r="C986" s="19" t="str">
        <f t="shared" si="48"/>
        <v>2026</v>
      </c>
      <c r="D986" s="25" t="s">
        <v>207</v>
      </c>
      <c r="E986" s="25" t="s">
        <v>24</v>
      </c>
      <c r="F986" s="25" t="s">
        <v>155</v>
      </c>
      <c r="G986" s="24">
        <v>800</v>
      </c>
      <c r="H986" s="19" t="str">
        <f>IF(LEN(G986)=0,"",VLOOKUP(G986,Issues!A:D,2,FALSE))</f>
        <v>(800) Politicas especiales operadores</v>
      </c>
      <c r="I986" s="20" t="str">
        <f>IF(LEN(G986)=0,"",VLOOKUP(G986,Issues!A:D,3,FALSE))</f>
        <v>Politicas de los operadores cumplidas.</v>
      </c>
      <c r="J986" s="19" t="str">
        <f>IF(LEN(G986)=0,"",VLOOKUP(G986,Issues!A:D,4,FALSE))</f>
        <v>Prueba OK</v>
      </c>
      <c r="K986" s="21" t="str">
        <f t="shared" si="47"/>
        <v>OK</v>
      </c>
    </row>
    <row r="987" spans="1:11" x14ac:dyDescent="0.35">
      <c r="A987" s="23">
        <v>46112</v>
      </c>
      <c r="B987" s="19" t="str">
        <f t="shared" si="46"/>
        <v>marzo</v>
      </c>
      <c r="C987" s="19" t="str">
        <f t="shared" si="48"/>
        <v>2026</v>
      </c>
      <c r="D987" s="25" t="s">
        <v>207</v>
      </c>
      <c r="E987" s="25" t="s">
        <v>23</v>
      </c>
      <c r="F987" s="25" t="s">
        <v>195</v>
      </c>
      <c r="G987" s="24">
        <v>400</v>
      </c>
      <c r="H987" s="19" t="str">
        <f>IF(LEN(G987)=0,"",VLOOKUP(G987,Issues!A:D,2,FALSE))</f>
        <v>(400) Portales / Web-App</v>
      </c>
      <c r="I987" s="20" t="str">
        <f>IF(LEN(G987)=0,"",VLOOKUP(G987,Issues!A:D,3,FALSE))</f>
        <v>Portal evaluado con éxito.</v>
      </c>
      <c r="J987" s="19" t="str">
        <f>IF(LEN(G987)=0,"",VLOOKUP(G987,Issues!A:D,4,FALSE))</f>
        <v>Prueba OK</v>
      </c>
      <c r="K987" s="21" t="str">
        <f t="shared" si="47"/>
        <v>OK</v>
      </c>
    </row>
    <row r="988" spans="1:11" x14ac:dyDescent="0.35">
      <c r="A988" s="23">
        <v>46137</v>
      </c>
      <c r="B988" s="19" t="str">
        <f t="shared" si="46"/>
        <v>abril</v>
      </c>
      <c r="C988" s="19" t="str">
        <f t="shared" si="48"/>
        <v>2026</v>
      </c>
      <c r="D988" s="25" t="s">
        <v>207</v>
      </c>
      <c r="E988" s="25" t="s">
        <v>21</v>
      </c>
      <c r="F988" s="25" t="s">
        <v>192</v>
      </c>
      <c r="G988" s="24">
        <v>501</v>
      </c>
      <c r="H988" s="19" t="str">
        <f>IF(LEN(G988)=0,"",VLOOKUP(G988,Issues!A:D,2,FALSE))</f>
        <v>(500) Baja / Cancelacion</v>
      </c>
      <c r="I988" s="20" t="str">
        <f>IF(LEN(G988)=0,"",VLOOKUP(G988,Issues!A:D,3,FALSE))</f>
        <v>No funciona el comando de baja.</v>
      </c>
      <c r="J988" s="19" t="str">
        <f>IF(LEN(G988)=0,"",VLOOKUP(G988,Issues!A:D,4,FALSE))</f>
        <v>Critico</v>
      </c>
      <c r="K988" s="21" t="str">
        <f t="shared" si="47"/>
        <v>Issue</v>
      </c>
    </row>
    <row r="989" spans="1:11" x14ac:dyDescent="0.35">
      <c r="A989" s="23">
        <v>46095</v>
      </c>
      <c r="B989" s="19" t="str">
        <f t="shared" si="46"/>
        <v>marzo</v>
      </c>
      <c r="C989" s="19" t="str">
        <f t="shared" si="48"/>
        <v>2026</v>
      </c>
      <c r="D989" s="25" t="s">
        <v>207</v>
      </c>
      <c r="E989" s="25" t="s">
        <v>25</v>
      </c>
      <c r="F989" s="25" t="s">
        <v>198</v>
      </c>
      <c r="G989" s="24">
        <v>106</v>
      </c>
      <c r="H989" s="19" t="str">
        <f>IF(LEN(G989)=0,"",VLOOKUP(G989,Issues!A:D,2,FALSE))</f>
        <v>(100)  Alta</v>
      </c>
      <c r="I989" s="20" t="str">
        <f>IF(LEN(G989)=0,"",VLOOKUP(G989,Issues!A:D,3,FALSE))</f>
        <v>Falla en lp de suscripción web.</v>
      </c>
      <c r="J989" s="19" t="str">
        <f>IF(LEN(G989)=0,"",VLOOKUP(G989,Issues!A:D,4,FALSE))</f>
        <v>Critico</v>
      </c>
      <c r="K989" s="21" t="str">
        <f t="shared" si="47"/>
        <v>Issue</v>
      </c>
    </row>
    <row r="990" spans="1:11" x14ac:dyDescent="0.35">
      <c r="A990" s="23">
        <v>46034</v>
      </c>
      <c r="B990" s="19" t="str">
        <f t="shared" si="46"/>
        <v>enero</v>
      </c>
      <c r="C990" s="19" t="str">
        <f t="shared" si="48"/>
        <v>2026</v>
      </c>
      <c r="D990" s="25" t="s">
        <v>208</v>
      </c>
      <c r="E990" s="25" t="s">
        <v>21</v>
      </c>
      <c r="F990" s="25" t="s">
        <v>193</v>
      </c>
      <c r="G990" s="24">
        <v>100</v>
      </c>
      <c r="H990" s="19" t="str">
        <f>IF(LEN(G990)=0,"",VLOOKUP(G990,Issues!A:D,2,FALSE))</f>
        <v>(100)  Alta</v>
      </c>
      <c r="I990" s="20" t="str">
        <f>IF(LEN(G990)=0,"",VLOOKUP(G990,Issues!A:D,3,FALSE))</f>
        <v>Alta con éxito.</v>
      </c>
      <c r="J990" s="19" t="str">
        <f>IF(LEN(G990)=0,"",VLOOKUP(G990,Issues!A:D,4,FALSE))</f>
        <v>Prueba OK</v>
      </c>
      <c r="K990" s="21" t="str">
        <f t="shared" si="47"/>
        <v>OK</v>
      </c>
    </row>
    <row r="991" spans="1:11" x14ac:dyDescent="0.35">
      <c r="A991" s="23">
        <v>46107</v>
      </c>
      <c r="B991" s="19" t="str">
        <f t="shared" si="46"/>
        <v>marzo</v>
      </c>
      <c r="C991" s="19" t="str">
        <f t="shared" si="48"/>
        <v>2026</v>
      </c>
      <c r="D991" s="25" t="s">
        <v>207</v>
      </c>
      <c r="E991" s="25" t="s">
        <v>18</v>
      </c>
      <c r="F991" s="25" t="s">
        <v>182</v>
      </c>
      <c r="G991" s="24">
        <v>700</v>
      </c>
      <c r="H991" s="19" t="str">
        <f>IF(LEN(G991)=0,"",VLOOKUP(G991,Issues!A:D,2,FALSE))</f>
        <v>(700) Interaccion MO/MT (On Demand)</v>
      </c>
      <c r="I991" s="20" t="str">
        <f>IF(LEN(G991)=0,"",VLOOKUP(G991,Issues!A:D,3,FALSE))</f>
        <v>Flujo MO/MT con éxito.</v>
      </c>
      <c r="J991" s="19" t="str">
        <f>IF(LEN(G991)=0,"",VLOOKUP(G991,Issues!A:D,4,FALSE))</f>
        <v>Prueba OK</v>
      </c>
      <c r="K991" s="21" t="str">
        <f t="shared" si="47"/>
        <v>OK</v>
      </c>
    </row>
    <row r="992" spans="1:11" x14ac:dyDescent="0.35">
      <c r="A992" s="23">
        <v>46151</v>
      </c>
      <c r="B992" s="19" t="str">
        <f t="shared" si="46"/>
        <v>mayo</v>
      </c>
      <c r="C992" s="19" t="str">
        <f t="shared" si="48"/>
        <v>2026</v>
      </c>
      <c r="D992" s="25" t="s">
        <v>206</v>
      </c>
      <c r="E992" s="25" t="s">
        <v>19</v>
      </c>
      <c r="F992" s="25" t="s">
        <v>186</v>
      </c>
      <c r="G992" s="24">
        <v>400</v>
      </c>
      <c r="H992" s="19" t="str">
        <f>IF(LEN(G992)=0,"",VLOOKUP(G992,Issues!A:D,2,FALSE))</f>
        <v>(400) Portales / Web-App</v>
      </c>
      <c r="I992" s="20" t="str">
        <f>IF(LEN(G992)=0,"",VLOOKUP(G992,Issues!A:D,3,FALSE))</f>
        <v>Portal evaluado con éxito.</v>
      </c>
      <c r="J992" s="19" t="str">
        <f>IF(LEN(G992)=0,"",VLOOKUP(G992,Issues!A:D,4,FALSE))</f>
        <v>Prueba OK</v>
      </c>
      <c r="K992" s="21" t="str">
        <f t="shared" si="47"/>
        <v>OK</v>
      </c>
    </row>
    <row r="993" spans="1:11" x14ac:dyDescent="0.35">
      <c r="A993" s="23">
        <v>46038</v>
      </c>
      <c r="B993" s="19" t="str">
        <f t="shared" si="46"/>
        <v>enero</v>
      </c>
      <c r="C993" s="19" t="str">
        <f t="shared" si="48"/>
        <v>2026</v>
      </c>
      <c r="D993" s="25" t="s">
        <v>206</v>
      </c>
      <c r="E993" s="25" t="s">
        <v>25</v>
      </c>
      <c r="F993" s="25" t="s">
        <v>198</v>
      </c>
      <c r="G993" s="24">
        <v>100</v>
      </c>
      <c r="H993" s="19" t="str">
        <f>IF(LEN(G993)=0,"",VLOOKUP(G993,Issues!A:D,2,FALSE))</f>
        <v>(100)  Alta</v>
      </c>
      <c r="I993" s="20" t="str">
        <f>IF(LEN(G993)=0,"",VLOOKUP(G993,Issues!A:D,3,FALSE))</f>
        <v>Alta con éxito.</v>
      </c>
      <c r="J993" s="19" t="str">
        <f>IF(LEN(G993)=0,"",VLOOKUP(G993,Issues!A:D,4,FALSE))</f>
        <v>Prueba OK</v>
      </c>
      <c r="K993" s="21" t="str">
        <f t="shared" si="47"/>
        <v>OK</v>
      </c>
    </row>
    <row r="994" spans="1:11" x14ac:dyDescent="0.35">
      <c r="A994" s="23">
        <v>46056</v>
      </c>
      <c r="B994" s="19" t="str">
        <f t="shared" si="46"/>
        <v>febrero</v>
      </c>
      <c r="C994" s="19" t="str">
        <f t="shared" si="48"/>
        <v>2026</v>
      </c>
      <c r="D994" s="25" t="s">
        <v>208</v>
      </c>
      <c r="E994" s="25" t="s">
        <v>19</v>
      </c>
      <c r="F994" s="25" t="s">
        <v>187</v>
      </c>
      <c r="G994" s="24">
        <v>100</v>
      </c>
      <c r="H994" s="19" t="str">
        <f>IF(LEN(G994)=0,"",VLOOKUP(G994,Issues!A:D,2,FALSE))</f>
        <v>(100)  Alta</v>
      </c>
      <c r="I994" s="20" t="str">
        <f>IF(LEN(G994)=0,"",VLOOKUP(G994,Issues!A:D,3,FALSE))</f>
        <v>Alta con éxito.</v>
      </c>
      <c r="J994" s="19" t="str">
        <f>IF(LEN(G994)=0,"",VLOOKUP(G994,Issues!A:D,4,FALSE))</f>
        <v>Prueba OK</v>
      </c>
      <c r="K994" s="21" t="str">
        <f t="shared" si="47"/>
        <v>OK</v>
      </c>
    </row>
    <row r="995" spans="1:11" x14ac:dyDescent="0.35">
      <c r="A995" s="23">
        <v>46137</v>
      </c>
      <c r="B995" s="19" t="str">
        <f t="shared" si="46"/>
        <v>abril</v>
      </c>
      <c r="C995" s="19" t="str">
        <f t="shared" si="48"/>
        <v>2026</v>
      </c>
      <c r="D995" s="25" t="s">
        <v>208</v>
      </c>
      <c r="E995" s="25" t="s">
        <v>27</v>
      </c>
      <c r="F995" s="25" t="s">
        <v>200</v>
      </c>
      <c r="G995" s="24">
        <v>105</v>
      </c>
      <c r="H995" s="19" t="str">
        <f>IF(LEN(G995)=0,"",VLOOKUP(G995,Issues!A:D,2,FALSE))</f>
        <v>(100)  Alta</v>
      </c>
      <c r="I995" s="20" t="str">
        <f>IF(LEN(G995)=0,"",VLOOKUP(G995,Issues!A:D,3,FALSE))</f>
        <v>Inconsistencia en el pin code.</v>
      </c>
      <c r="J995" s="19" t="str">
        <f>IF(LEN(G995)=0,"",VLOOKUP(G995,Issues!A:D,4,FALSE))</f>
        <v>Medio</v>
      </c>
      <c r="K995" s="21" t="str">
        <f t="shared" si="47"/>
        <v>Issue</v>
      </c>
    </row>
    <row r="996" spans="1:11" x14ac:dyDescent="0.35">
      <c r="A996" s="23">
        <v>46065</v>
      </c>
      <c r="B996" s="19" t="str">
        <f t="shared" si="46"/>
        <v>febrero</v>
      </c>
      <c r="C996" s="19" t="str">
        <f t="shared" si="48"/>
        <v>2026</v>
      </c>
      <c r="D996" s="25" t="s">
        <v>206</v>
      </c>
      <c r="E996" s="25" t="s">
        <v>13</v>
      </c>
      <c r="F996" s="25" t="s">
        <v>157</v>
      </c>
      <c r="G996" s="24">
        <v>401</v>
      </c>
      <c r="H996" s="19" t="str">
        <f>IF(LEN(G996)=0,"",VLOOKUP(G996,Issues!A:D,2,FALSE))</f>
        <v>(400) Portales / Web-App</v>
      </c>
      <c r="I996" s="20" t="str">
        <f>IF(LEN(G996)=0,"",VLOOKUP(G996,Issues!A:D,3,FALSE))</f>
        <v>Problemas con las credenciales y acceso a portal / web-app.</v>
      </c>
      <c r="J996" s="19" t="str">
        <f>IF(LEN(G996)=0,"",VLOOKUP(G996,Issues!A:D,4,FALSE))</f>
        <v>Critico</v>
      </c>
      <c r="K996" s="21" t="str">
        <f t="shared" si="47"/>
        <v>Issue</v>
      </c>
    </row>
    <row r="997" spans="1:11" x14ac:dyDescent="0.35">
      <c r="A997" s="23">
        <v>46068</v>
      </c>
      <c r="B997" s="19" t="str">
        <f t="shared" si="46"/>
        <v>febrero</v>
      </c>
      <c r="C997" s="19" t="str">
        <f t="shared" si="48"/>
        <v>2026</v>
      </c>
      <c r="D997" s="25" t="s">
        <v>207</v>
      </c>
      <c r="E997" s="25" t="s">
        <v>27</v>
      </c>
      <c r="F997" s="25" t="s">
        <v>201</v>
      </c>
      <c r="G997" s="24">
        <v>111</v>
      </c>
      <c r="H997" s="19" t="str">
        <f>IF(LEN(G997)=0,"",VLOOKUP(G997,Issues!A:D,2,FALSE))</f>
        <v>(100)  Alta</v>
      </c>
      <c r="I997" s="20" t="str">
        <f>IF(LEN(G997)=0,"",VLOOKUP(G997,Issues!A:D,3,FALSE))</f>
        <v>Falla en alta a traves de sim.</v>
      </c>
      <c r="J997" s="19" t="str">
        <f>IF(LEN(G997)=0,"",VLOOKUP(G997,Issues!A:D,4,FALSE))</f>
        <v>Critico</v>
      </c>
      <c r="K997" s="21" t="str">
        <f t="shared" si="47"/>
        <v>Issue</v>
      </c>
    </row>
    <row r="998" spans="1:11" x14ac:dyDescent="0.35">
      <c r="A998" s="23">
        <v>46110</v>
      </c>
      <c r="B998" s="19" t="str">
        <f t="shared" si="46"/>
        <v>marzo</v>
      </c>
      <c r="C998" s="19" t="str">
        <f t="shared" si="48"/>
        <v>2026</v>
      </c>
      <c r="D998" s="25" t="s">
        <v>208</v>
      </c>
      <c r="E998" s="25" t="s">
        <v>12</v>
      </c>
      <c r="F998" s="25" t="s">
        <v>169</v>
      </c>
      <c r="G998" s="24">
        <v>703</v>
      </c>
      <c r="H998" s="19" t="str">
        <f>IF(LEN(G998)=0,"",VLOOKUP(G998,Issues!A:D,2,FALSE))</f>
        <v>(700) Interaccion MO/MT (On Demand)</v>
      </c>
      <c r="I998" s="20" t="str">
        <f>IF(LEN(G998)=0,"",VLOOKUP(G998,Issues!A:D,3,FALSE))</f>
        <v>Fallas en la interaccion mo/mt.</v>
      </c>
      <c r="J998" s="19" t="str">
        <f>IF(LEN(G998)=0,"",VLOOKUP(G998,Issues!A:D,4,FALSE))</f>
        <v>Critico</v>
      </c>
      <c r="K998" s="21" t="str">
        <f t="shared" si="47"/>
        <v>Issue</v>
      </c>
    </row>
    <row r="999" spans="1:11" x14ac:dyDescent="0.35">
      <c r="A999" s="23">
        <v>46025</v>
      </c>
      <c r="B999" s="19" t="str">
        <f t="shared" si="46"/>
        <v>enero</v>
      </c>
      <c r="C999" s="19" t="str">
        <f t="shared" si="48"/>
        <v>2026</v>
      </c>
      <c r="D999" s="25" t="s">
        <v>207</v>
      </c>
      <c r="E999" s="25" t="s">
        <v>10</v>
      </c>
      <c r="F999" s="25" t="s">
        <v>162</v>
      </c>
      <c r="G999" s="24">
        <v>508</v>
      </c>
      <c r="H999" s="19" t="str">
        <f>IF(LEN(G999)=0,"",VLOOKUP(G999,Issues!A:D,2,FALSE))</f>
        <v>(500) Baja / Cancelacion</v>
      </c>
      <c r="I999" s="20" t="str">
        <f>IF(LEN(G999)=0,"",VLOOKUP(G999,Issues!A:D,3,FALSE))</f>
        <v>No permite dar baja por no tener saldo.</v>
      </c>
      <c r="J999" s="19" t="str">
        <f>IF(LEN(G999)=0,"",VLOOKUP(G999,Issues!A:D,4,FALSE))</f>
        <v>Critico</v>
      </c>
      <c r="K999" s="21" t="str">
        <f t="shared" si="47"/>
        <v>Issue</v>
      </c>
    </row>
    <row r="1000" spans="1:11" x14ac:dyDescent="0.35">
      <c r="A1000" s="23">
        <v>46119</v>
      </c>
      <c r="B1000" s="19" t="str">
        <f t="shared" si="46"/>
        <v>abril</v>
      </c>
      <c r="C1000" s="19" t="str">
        <f t="shared" si="48"/>
        <v>2026</v>
      </c>
      <c r="D1000" s="25" t="s">
        <v>207</v>
      </c>
      <c r="E1000" s="25" t="s">
        <v>24</v>
      </c>
      <c r="F1000" s="25" t="s">
        <v>159</v>
      </c>
      <c r="G1000" s="24">
        <v>102</v>
      </c>
      <c r="H1000" s="19" t="str">
        <f>IF(LEN(G1000)=0,"",VLOOKUP(G1000,Issues!A:D,2,FALSE))</f>
        <v>(100)  Alta</v>
      </c>
      <c r="I1000" s="20" t="str">
        <f>IF(LEN(G1000)=0,"",VLOOKUP(G1000,Issues!A:D,3,FALSE))</f>
        <v>Falla en doble optin en sms.</v>
      </c>
      <c r="J1000" s="19" t="str">
        <f>IF(LEN(G1000)=0,"",VLOOKUP(G1000,Issues!A:D,4,FALSE))</f>
        <v>Critico</v>
      </c>
      <c r="K1000" s="21" t="str">
        <f t="shared" si="47"/>
        <v>Issue</v>
      </c>
    </row>
    <row r="1001" spans="1:11" x14ac:dyDescent="0.35">
      <c r="A1001" s="23">
        <v>46157</v>
      </c>
      <c r="B1001" s="19" t="str">
        <f t="shared" si="46"/>
        <v>mayo</v>
      </c>
      <c r="C1001" s="19" t="str">
        <f t="shared" si="48"/>
        <v>2026</v>
      </c>
      <c r="D1001" s="25" t="s">
        <v>207</v>
      </c>
      <c r="E1001" s="25" t="s">
        <v>22</v>
      </c>
      <c r="F1001" s="25" t="s">
        <v>158</v>
      </c>
      <c r="G1001" s="24">
        <v>500</v>
      </c>
      <c r="H1001" s="19" t="str">
        <f>IF(LEN(G1001)=0,"",VLOOKUP(G1001,Issues!A:D,2,FALSE))</f>
        <v>(500) Baja / Cancelacion</v>
      </c>
      <c r="I1001" s="20" t="str">
        <f>IF(LEN(G1001)=0,"",VLOOKUP(G1001,Issues!A:D,3,FALSE))</f>
        <v>Baja con éxito.</v>
      </c>
      <c r="J1001" s="19" t="str">
        <f>IF(LEN(G1001)=0,"",VLOOKUP(G1001,Issues!A:D,4,FALSE))</f>
        <v>Prueba OK</v>
      </c>
      <c r="K1001" s="21" t="str">
        <f t="shared" si="47"/>
        <v>OK</v>
      </c>
    </row>
  </sheetData>
  <sheetProtection sheet="1" objects="1" scenarios="1"/>
  <conditionalFormatting sqref="J2:J1001">
    <cfRule type="containsText" dxfId="5" priority="9" operator="containsText" text="Bajo">
      <formula>NOT(ISERROR(SEARCH("Bajo",J2)))</formula>
    </cfRule>
    <cfRule type="containsText" dxfId="4" priority="10" operator="containsText" text="Medio">
      <formula>NOT(ISERROR(SEARCH("Medio",J2)))</formula>
    </cfRule>
    <cfRule type="containsText" dxfId="3" priority="11" operator="containsText" text="Critico">
      <formula>NOT(ISERROR(SEARCH("Critico",J2)))</formula>
    </cfRule>
    <cfRule type="containsText" dxfId="2" priority="12" operator="containsText" text="Prueba OK">
      <formula>NOT(ISERROR(SEARCH("Prueba OK",J2)))</formula>
    </cfRule>
  </conditionalFormatting>
  <conditionalFormatting sqref="K2:K1001">
    <cfRule type="containsText" dxfId="1" priority="1" operator="containsText" text="Ok">
      <formula>NOT(ISERROR(SEARCH("Ok",K2)))</formula>
    </cfRule>
    <cfRule type="containsText" dxfId="0" priority="2" operator="containsText" text="Issue">
      <formula>NOT(ISERROR(SEARCH("Issue",K2)))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72DC82E-34D9-448F-A7CA-5C214D0575A4}">
          <x14:formula1>
            <xm:f>CPs!$A$1:$A$18</xm:f>
          </x14:formula1>
          <xm:sqref>E2:E1001</xm:sqref>
        </x14:dataValidation>
        <x14:dataValidation type="list" allowBlank="1" showInputMessage="1" showErrorMessage="1" xr:uid="{D8458D72-2DF9-4586-ADDF-263948218855}">
          <x14:formula1>
            <xm:f>clubs!$B:$B</xm:f>
          </x14:formula1>
          <xm:sqref>F2:F92</xm:sqref>
        </x14:dataValidation>
        <x14:dataValidation type="list" allowBlank="1" showInputMessage="1" showErrorMessage="1" xr:uid="{1B6E3A84-A8D4-4C22-A6C8-E860A9FAF6CB}">
          <x14:formula1>
            <xm:f>Issues!$A$2:$A$64</xm:f>
          </x14:formula1>
          <xm:sqref>G2:G1001</xm:sqref>
        </x14:dataValidation>
        <x14:dataValidation type="list" allowBlank="1" showInputMessage="1" showErrorMessage="1" xr:uid="{0FDF5491-351B-4334-ACB1-D5C906D00D3C}">
          <x14:formula1>
            <xm:f>Canal!$A$1:$A$7</xm:f>
          </x14:formula1>
          <xm:sqref>D2:D1001</xm:sqref>
        </x14:dataValidation>
        <x14:dataValidation type="list" allowBlank="1" showInputMessage="1" showErrorMessage="1" xr:uid="{B0A8C15A-4418-4ADE-8D4A-DAC661A2FFF7}">
          <x14:formula1>
            <xm:f>Fecha!$A$1:$A$365</xm:f>
          </x14:formula1>
          <xm:sqref>A2:A1001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2A29-F1BB-4953-90C6-67D3C627C524}">
  <sheetPr>
    <tabColor rgb="FF92D050"/>
  </sheetPr>
  <dimension ref="B1:N124"/>
  <sheetViews>
    <sheetView topLeftCell="A112" workbookViewId="0">
      <selection activeCell="L122" sqref="L122"/>
    </sheetView>
  </sheetViews>
  <sheetFormatPr baseColWidth="10" defaultRowHeight="14.5" x14ac:dyDescent="0.35"/>
  <cols>
    <col min="2" max="2" width="18.26953125" bestFit="1" customWidth="1"/>
    <col min="3" max="3" width="9.36328125" bestFit="1" customWidth="1"/>
    <col min="4" max="4" width="7.08984375" bestFit="1" customWidth="1"/>
    <col min="5" max="5" width="6.08984375" bestFit="1" customWidth="1"/>
    <col min="6" max="6" width="4.54296875" bestFit="1" customWidth="1"/>
    <col min="7" max="7" width="5.453125" bestFit="1" customWidth="1"/>
    <col min="8" max="8" width="11.7265625" bestFit="1" customWidth="1"/>
    <col min="12" max="12" width="40.6328125" customWidth="1"/>
  </cols>
  <sheetData>
    <row r="1" spans="2:10" x14ac:dyDescent="0.35">
      <c r="B1" s="12" t="s">
        <v>1</v>
      </c>
      <c r="C1" t="s">
        <v>211</v>
      </c>
      <c r="E1" s="16" t="s">
        <v>224</v>
      </c>
      <c r="F1" s="16"/>
      <c r="G1" s="16"/>
      <c r="H1" s="16"/>
      <c r="I1" s="16"/>
      <c r="J1" s="16"/>
    </row>
    <row r="2" spans="2:10" x14ac:dyDescent="0.35">
      <c r="E2" s="16"/>
      <c r="F2" s="16"/>
      <c r="G2" s="16"/>
      <c r="H2" s="16"/>
      <c r="I2" s="16"/>
      <c r="J2" s="16"/>
    </row>
    <row r="3" spans="2:10" x14ac:dyDescent="0.35">
      <c r="C3" t="s">
        <v>221</v>
      </c>
    </row>
    <row r="4" spans="2:10" x14ac:dyDescent="0.35">
      <c r="B4" s="13" t="s">
        <v>223</v>
      </c>
      <c r="C4" s="15">
        <v>90</v>
      </c>
    </row>
    <row r="5" spans="2:10" x14ac:dyDescent="0.35">
      <c r="B5" s="13" t="s">
        <v>222</v>
      </c>
      <c r="C5" s="15">
        <v>113</v>
      </c>
    </row>
    <row r="6" spans="2:10" x14ac:dyDescent="0.35">
      <c r="B6" s="13" t="s">
        <v>212</v>
      </c>
      <c r="C6" s="15">
        <v>203</v>
      </c>
    </row>
    <row r="24" spans="2:5" x14ac:dyDescent="0.35">
      <c r="B24" s="12" t="s">
        <v>1</v>
      </c>
      <c r="C24" t="s">
        <v>211</v>
      </c>
    </row>
    <row r="26" spans="2:5" x14ac:dyDescent="0.35">
      <c r="B26" s="12" t="s">
        <v>221</v>
      </c>
    </row>
    <row r="27" spans="2:5" x14ac:dyDescent="0.35">
      <c r="C27" t="s">
        <v>223</v>
      </c>
      <c r="D27" t="s">
        <v>222</v>
      </c>
      <c r="E27" t="s">
        <v>212</v>
      </c>
    </row>
    <row r="28" spans="2:5" x14ac:dyDescent="0.35">
      <c r="B28" s="13" t="s">
        <v>213</v>
      </c>
      <c r="C28" s="15">
        <v>15</v>
      </c>
      <c r="D28" s="15">
        <v>32</v>
      </c>
      <c r="E28" s="15">
        <v>47</v>
      </c>
    </row>
    <row r="29" spans="2:5" x14ac:dyDescent="0.35">
      <c r="B29" s="13" t="s">
        <v>214</v>
      </c>
      <c r="C29" s="15">
        <v>8</v>
      </c>
      <c r="D29" s="15">
        <v>23</v>
      </c>
      <c r="E29" s="15">
        <v>31</v>
      </c>
    </row>
    <row r="30" spans="2:5" x14ac:dyDescent="0.35">
      <c r="B30" s="13" t="s">
        <v>215</v>
      </c>
      <c r="C30" s="15">
        <v>15</v>
      </c>
      <c r="D30" s="15">
        <v>13</v>
      </c>
      <c r="E30" s="15">
        <v>28</v>
      </c>
    </row>
    <row r="31" spans="2:5" x14ac:dyDescent="0.35">
      <c r="B31" s="13" t="s">
        <v>216</v>
      </c>
      <c r="C31" s="15">
        <v>9</v>
      </c>
      <c r="D31" s="15">
        <v>26</v>
      </c>
      <c r="E31" s="15">
        <v>35</v>
      </c>
    </row>
    <row r="32" spans="2:5" x14ac:dyDescent="0.35">
      <c r="B32" s="13" t="s">
        <v>217</v>
      </c>
      <c r="C32" s="15">
        <v>16</v>
      </c>
      <c r="D32" s="15">
        <v>9</v>
      </c>
      <c r="E32" s="15">
        <v>25</v>
      </c>
    </row>
    <row r="33" spans="2:5" x14ac:dyDescent="0.35">
      <c r="B33" s="13" t="s">
        <v>218</v>
      </c>
      <c r="C33" s="15">
        <v>13</v>
      </c>
      <c r="D33" s="15">
        <v>6</v>
      </c>
      <c r="E33" s="15">
        <v>19</v>
      </c>
    </row>
    <row r="34" spans="2:5" x14ac:dyDescent="0.35">
      <c r="B34" s="13" t="s">
        <v>219</v>
      </c>
      <c r="C34" s="15">
        <v>14</v>
      </c>
      <c r="D34" s="15">
        <v>4</v>
      </c>
      <c r="E34" s="15">
        <v>18</v>
      </c>
    </row>
    <row r="35" spans="2:5" x14ac:dyDescent="0.35">
      <c r="B35" s="13" t="s">
        <v>212</v>
      </c>
      <c r="C35" s="15">
        <v>90</v>
      </c>
      <c r="D35" s="15">
        <v>113</v>
      </c>
      <c r="E35" s="15">
        <v>203</v>
      </c>
    </row>
    <row r="38" spans="2:5" x14ac:dyDescent="0.35">
      <c r="B38" s="12" t="s">
        <v>1</v>
      </c>
      <c r="C38" t="s">
        <v>211</v>
      </c>
    </row>
    <row r="39" spans="2:5" x14ac:dyDescent="0.35">
      <c r="B39" s="12" t="s">
        <v>220</v>
      </c>
      <c r="C39" t="s">
        <v>222</v>
      </c>
    </row>
    <row r="41" spans="2:5" x14ac:dyDescent="0.35">
      <c r="C41" t="s">
        <v>221</v>
      </c>
    </row>
    <row r="42" spans="2:5" x14ac:dyDescent="0.35">
      <c r="B42" s="13" t="s">
        <v>127</v>
      </c>
      <c r="C42" s="15">
        <v>2</v>
      </c>
    </row>
    <row r="43" spans="2:5" x14ac:dyDescent="0.35">
      <c r="B43" s="13" t="s">
        <v>116</v>
      </c>
      <c r="C43" s="15">
        <v>1</v>
      </c>
    </row>
    <row r="44" spans="2:5" x14ac:dyDescent="0.35">
      <c r="B44" s="13" t="s">
        <v>115</v>
      </c>
      <c r="C44" s="15">
        <v>2</v>
      </c>
    </row>
    <row r="45" spans="2:5" x14ac:dyDescent="0.35">
      <c r="B45" s="13" t="s">
        <v>110</v>
      </c>
      <c r="C45" s="15">
        <v>4</v>
      </c>
    </row>
    <row r="46" spans="2:5" x14ac:dyDescent="0.35">
      <c r="B46" s="13" t="s">
        <v>111</v>
      </c>
      <c r="C46" s="15">
        <v>3</v>
      </c>
    </row>
    <row r="47" spans="2:5" x14ac:dyDescent="0.35">
      <c r="B47" s="13" t="s">
        <v>108</v>
      </c>
      <c r="C47" s="15">
        <v>3</v>
      </c>
    </row>
    <row r="48" spans="2:5" x14ac:dyDescent="0.35">
      <c r="B48" s="13" t="s">
        <v>102</v>
      </c>
      <c r="C48" s="15">
        <v>1</v>
      </c>
    </row>
    <row r="49" spans="2:3" x14ac:dyDescent="0.35">
      <c r="B49" s="13" t="s">
        <v>104</v>
      </c>
      <c r="C49" s="15">
        <v>4</v>
      </c>
    </row>
    <row r="50" spans="2:3" x14ac:dyDescent="0.35">
      <c r="B50" s="13" t="s">
        <v>105</v>
      </c>
      <c r="C50" s="15">
        <v>3</v>
      </c>
    </row>
    <row r="51" spans="2:3" x14ac:dyDescent="0.35">
      <c r="B51" s="13" t="s">
        <v>97</v>
      </c>
      <c r="C51" s="15">
        <v>2</v>
      </c>
    </row>
    <row r="52" spans="2:3" x14ac:dyDescent="0.35">
      <c r="B52" s="13" t="s">
        <v>98</v>
      </c>
      <c r="C52" s="15">
        <v>3</v>
      </c>
    </row>
    <row r="53" spans="2:3" x14ac:dyDescent="0.35">
      <c r="B53" s="13" t="s">
        <v>99</v>
      </c>
      <c r="C53" s="15">
        <v>3</v>
      </c>
    </row>
    <row r="54" spans="2:3" x14ac:dyDescent="0.35">
      <c r="B54" s="13" t="s">
        <v>142</v>
      </c>
      <c r="C54" s="15">
        <v>2</v>
      </c>
    </row>
    <row r="55" spans="2:3" x14ac:dyDescent="0.35">
      <c r="B55" s="13" t="s">
        <v>101</v>
      </c>
      <c r="C55" s="15">
        <v>1</v>
      </c>
    </row>
    <row r="56" spans="2:3" x14ac:dyDescent="0.35">
      <c r="B56" s="13" t="s">
        <v>89</v>
      </c>
      <c r="C56" s="15">
        <v>1</v>
      </c>
    </row>
    <row r="57" spans="2:3" x14ac:dyDescent="0.35">
      <c r="B57" s="13" t="s">
        <v>94</v>
      </c>
      <c r="C57" s="15">
        <v>4</v>
      </c>
    </row>
    <row r="58" spans="2:3" x14ac:dyDescent="0.35">
      <c r="B58" s="13" t="s">
        <v>93</v>
      </c>
      <c r="C58" s="15">
        <v>1</v>
      </c>
    </row>
    <row r="59" spans="2:3" x14ac:dyDescent="0.35">
      <c r="B59" s="13" t="s">
        <v>96</v>
      </c>
      <c r="C59" s="15">
        <v>3</v>
      </c>
    </row>
    <row r="60" spans="2:3" x14ac:dyDescent="0.35">
      <c r="B60" s="13" t="s">
        <v>138</v>
      </c>
      <c r="C60" s="15">
        <v>2</v>
      </c>
    </row>
    <row r="61" spans="2:3" x14ac:dyDescent="0.35">
      <c r="B61" s="13" t="s">
        <v>139</v>
      </c>
      <c r="C61" s="15">
        <v>1</v>
      </c>
    </row>
    <row r="62" spans="2:3" x14ac:dyDescent="0.35">
      <c r="B62" s="13" t="s">
        <v>92</v>
      </c>
      <c r="C62" s="15">
        <v>1</v>
      </c>
    </row>
    <row r="63" spans="2:3" x14ac:dyDescent="0.35">
      <c r="B63" s="13" t="s">
        <v>90</v>
      </c>
      <c r="C63" s="15">
        <v>3</v>
      </c>
    </row>
    <row r="64" spans="2:3" x14ac:dyDescent="0.35">
      <c r="B64" s="13" t="s">
        <v>118</v>
      </c>
      <c r="C64" s="15">
        <v>3</v>
      </c>
    </row>
    <row r="65" spans="2:3" x14ac:dyDescent="0.35">
      <c r="B65" s="13" t="s">
        <v>117</v>
      </c>
      <c r="C65" s="15">
        <v>2</v>
      </c>
    </row>
    <row r="66" spans="2:3" x14ac:dyDescent="0.35">
      <c r="B66" s="13" t="s">
        <v>126</v>
      </c>
      <c r="C66" s="15">
        <v>5</v>
      </c>
    </row>
    <row r="67" spans="2:3" x14ac:dyDescent="0.35">
      <c r="B67" s="13" t="s">
        <v>95</v>
      </c>
      <c r="C67" s="15">
        <v>3</v>
      </c>
    </row>
    <row r="68" spans="2:3" x14ac:dyDescent="0.35">
      <c r="B68" s="13" t="s">
        <v>103</v>
      </c>
      <c r="C68" s="15">
        <v>2</v>
      </c>
    </row>
    <row r="69" spans="2:3" x14ac:dyDescent="0.35">
      <c r="B69" s="13" t="s">
        <v>114</v>
      </c>
      <c r="C69" s="15">
        <v>2</v>
      </c>
    </row>
    <row r="70" spans="2:3" x14ac:dyDescent="0.35">
      <c r="B70" s="13" t="s">
        <v>106</v>
      </c>
      <c r="C70" s="15">
        <v>2</v>
      </c>
    </row>
    <row r="71" spans="2:3" x14ac:dyDescent="0.35">
      <c r="B71" s="13" t="s">
        <v>109</v>
      </c>
      <c r="C71" s="15">
        <v>5</v>
      </c>
    </row>
    <row r="72" spans="2:3" x14ac:dyDescent="0.35">
      <c r="B72" s="13" t="s">
        <v>141</v>
      </c>
      <c r="C72" s="15">
        <v>2</v>
      </c>
    </row>
    <row r="73" spans="2:3" x14ac:dyDescent="0.35">
      <c r="B73" s="13" t="s">
        <v>124</v>
      </c>
      <c r="C73" s="15">
        <v>2</v>
      </c>
    </row>
    <row r="74" spans="2:3" x14ac:dyDescent="0.35">
      <c r="B74" s="13" t="s">
        <v>119</v>
      </c>
      <c r="C74" s="15">
        <v>2</v>
      </c>
    </row>
    <row r="75" spans="2:3" x14ac:dyDescent="0.35">
      <c r="B75" s="13" t="s">
        <v>129</v>
      </c>
      <c r="C75" s="15">
        <v>1</v>
      </c>
    </row>
    <row r="76" spans="2:3" x14ac:dyDescent="0.35">
      <c r="B76" s="13" t="s">
        <v>136</v>
      </c>
      <c r="C76" s="15">
        <v>1</v>
      </c>
    </row>
    <row r="77" spans="2:3" x14ac:dyDescent="0.35">
      <c r="B77" s="13" t="s">
        <v>128</v>
      </c>
      <c r="C77" s="15">
        <v>1</v>
      </c>
    </row>
    <row r="78" spans="2:3" x14ac:dyDescent="0.35">
      <c r="B78" s="13" t="s">
        <v>133</v>
      </c>
      <c r="C78" s="15">
        <v>3</v>
      </c>
    </row>
    <row r="79" spans="2:3" x14ac:dyDescent="0.35">
      <c r="B79" s="13" t="s">
        <v>131</v>
      </c>
      <c r="C79" s="15">
        <v>2</v>
      </c>
    </row>
    <row r="80" spans="2:3" x14ac:dyDescent="0.35">
      <c r="B80" s="13" t="s">
        <v>134</v>
      </c>
      <c r="C80" s="15">
        <v>1</v>
      </c>
    </row>
    <row r="81" spans="2:3" x14ac:dyDescent="0.35">
      <c r="B81" s="13" t="s">
        <v>132</v>
      </c>
      <c r="C81" s="15">
        <v>1</v>
      </c>
    </row>
    <row r="82" spans="2:3" x14ac:dyDescent="0.35">
      <c r="B82" s="13" t="s">
        <v>125</v>
      </c>
      <c r="C82" s="15">
        <v>4</v>
      </c>
    </row>
    <row r="83" spans="2:3" x14ac:dyDescent="0.35">
      <c r="B83" s="13" t="s">
        <v>140</v>
      </c>
      <c r="C83" s="15">
        <v>1</v>
      </c>
    </row>
    <row r="84" spans="2:3" x14ac:dyDescent="0.35">
      <c r="B84" s="13" t="s">
        <v>91</v>
      </c>
      <c r="C84" s="15">
        <v>2</v>
      </c>
    </row>
    <row r="85" spans="2:3" x14ac:dyDescent="0.35">
      <c r="B85" s="13" t="s">
        <v>112</v>
      </c>
      <c r="C85" s="15">
        <v>1</v>
      </c>
    </row>
    <row r="86" spans="2:3" x14ac:dyDescent="0.35">
      <c r="B86" s="13" t="s">
        <v>88</v>
      </c>
      <c r="C86" s="15">
        <v>3</v>
      </c>
    </row>
    <row r="87" spans="2:3" x14ac:dyDescent="0.35">
      <c r="B87" s="13" t="s">
        <v>137</v>
      </c>
      <c r="C87" s="15">
        <v>1</v>
      </c>
    </row>
    <row r="88" spans="2:3" x14ac:dyDescent="0.35">
      <c r="B88" s="13" t="s">
        <v>121</v>
      </c>
      <c r="C88" s="15">
        <v>3</v>
      </c>
    </row>
    <row r="89" spans="2:3" x14ac:dyDescent="0.35">
      <c r="B89" s="13" t="s">
        <v>122</v>
      </c>
      <c r="C89" s="15">
        <v>2</v>
      </c>
    </row>
    <row r="90" spans="2:3" x14ac:dyDescent="0.35">
      <c r="B90" s="13" t="s">
        <v>120</v>
      </c>
      <c r="C90" s="15">
        <v>2</v>
      </c>
    </row>
    <row r="91" spans="2:3" x14ac:dyDescent="0.35">
      <c r="B91" s="13" t="s">
        <v>123</v>
      </c>
      <c r="C91" s="15">
        <v>2</v>
      </c>
    </row>
    <row r="92" spans="2:3" x14ac:dyDescent="0.35">
      <c r="B92" s="13" t="s">
        <v>100</v>
      </c>
      <c r="C92" s="15">
        <v>2</v>
      </c>
    </row>
    <row r="93" spans="2:3" x14ac:dyDescent="0.35">
      <c r="B93" s="13" t="s">
        <v>212</v>
      </c>
      <c r="C93" s="15">
        <v>113</v>
      </c>
    </row>
    <row r="97" spans="2:5" x14ac:dyDescent="0.35">
      <c r="B97" s="12" t="s">
        <v>1</v>
      </c>
      <c r="C97" t="s">
        <v>226</v>
      </c>
    </row>
    <row r="98" spans="2:5" x14ac:dyDescent="0.35">
      <c r="B98" s="12" t="s">
        <v>3</v>
      </c>
      <c r="C98" t="s">
        <v>16</v>
      </c>
    </row>
    <row r="100" spans="2:5" x14ac:dyDescent="0.35">
      <c r="B100" s="12" t="s">
        <v>221</v>
      </c>
    </row>
    <row r="101" spans="2:5" x14ac:dyDescent="0.35">
      <c r="C101" t="s">
        <v>223</v>
      </c>
      <c r="D101" t="s">
        <v>222</v>
      </c>
      <c r="E101" t="s">
        <v>212</v>
      </c>
    </row>
    <row r="102" spans="2:5" x14ac:dyDescent="0.35">
      <c r="B102" s="13" t="s">
        <v>213</v>
      </c>
      <c r="C102" s="15"/>
      <c r="D102" s="15">
        <v>3</v>
      </c>
      <c r="E102" s="15">
        <v>3</v>
      </c>
    </row>
    <row r="103" spans="2:5" x14ac:dyDescent="0.35">
      <c r="B103" s="13" t="s">
        <v>214</v>
      </c>
      <c r="C103" s="15">
        <v>1</v>
      </c>
      <c r="D103" s="15">
        <v>1</v>
      </c>
      <c r="E103" s="15">
        <v>2</v>
      </c>
    </row>
    <row r="104" spans="2:5" x14ac:dyDescent="0.35">
      <c r="B104" s="13" t="s">
        <v>215</v>
      </c>
      <c r="C104" s="15">
        <v>1</v>
      </c>
      <c r="D104" s="15"/>
      <c r="E104" s="15">
        <v>1</v>
      </c>
    </row>
    <row r="105" spans="2:5" x14ac:dyDescent="0.35">
      <c r="B105" s="13" t="s">
        <v>216</v>
      </c>
      <c r="C105" s="15"/>
      <c r="D105" s="15">
        <v>2</v>
      </c>
      <c r="E105" s="15">
        <v>2</v>
      </c>
    </row>
    <row r="106" spans="2:5" x14ac:dyDescent="0.35">
      <c r="B106" s="13" t="s">
        <v>217</v>
      </c>
      <c r="C106" s="15">
        <v>1</v>
      </c>
      <c r="D106" s="15">
        <v>1</v>
      </c>
      <c r="E106" s="15">
        <v>2</v>
      </c>
    </row>
    <row r="107" spans="2:5" x14ac:dyDescent="0.35">
      <c r="B107" s="13" t="s">
        <v>218</v>
      </c>
      <c r="C107" s="15"/>
      <c r="D107" s="15">
        <v>1</v>
      </c>
      <c r="E107" s="15">
        <v>1</v>
      </c>
    </row>
    <row r="108" spans="2:5" x14ac:dyDescent="0.35">
      <c r="B108" s="13" t="s">
        <v>219</v>
      </c>
      <c r="C108" s="15">
        <v>1</v>
      </c>
      <c r="D108" s="15"/>
      <c r="E108" s="15">
        <v>1</v>
      </c>
    </row>
    <row r="109" spans="2:5" x14ac:dyDescent="0.35">
      <c r="B109" s="13" t="s">
        <v>212</v>
      </c>
      <c r="C109" s="15">
        <v>4</v>
      </c>
      <c r="D109" s="15">
        <v>8</v>
      </c>
      <c r="E109" s="15">
        <v>12</v>
      </c>
    </row>
    <row r="116" spans="2:14" x14ac:dyDescent="0.35">
      <c r="B116" s="12" t="s">
        <v>3</v>
      </c>
      <c r="C116" t="s">
        <v>225</v>
      </c>
    </row>
    <row r="117" spans="2:14" x14ac:dyDescent="0.35">
      <c r="B117" s="12" t="s">
        <v>220</v>
      </c>
      <c r="C117" t="s">
        <v>222</v>
      </c>
      <c r="K117" t="s">
        <v>232</v>
      </c>
    </row>
    <row r="118" spans="2:14" x14ac:dyDescent="0.35">
      <c r="K118" t="s">
        <v>230</v>
      </c>
      <c r="L118" t="s">
        <v>231</v>
      </c>
      <c r="M118" t="s">
        <v>233</v>
      </c>
      <c r="N118" t="s">
        <v>234</v>
      </c>
    </row>
    <row r="119" spans="2:14" x14ac:dyDescent="0.35">
      <c r="B119" s="12" t="s">
        <v>221</v>
      </c>
      <c r="K119" t="s">
        <v>235</v>
      </c>
      <c r="L119" t="s">
        <v>236</v>
      </c>
    </row>
    <row r="120" spans="2:14" x14ac:dyDescent="0.35">
      <c r="C120" t="s">
        <v>226</v>
      </c>
      <c r="D120" t="s">
        <v>211</v>
      </c>
      <c r="E120" t="s">
        <v>227</v>
      </c>
      <c r="F120" t="s">
        <v>228</v>
      </c>
      <c r="G120" t="s">
        <v>229</v>
      </c>
      <c r="H120" t="s">
        <v>212</v>
      </c>
      <c r="K120" t="s">
        <v>235</v>
      </c>
      <c r="L120" t="s">
        <v>237</v>
      </c>
    </row>
    <row r="121" spans="2:14" x14ac:dyDescent="0.35">
      <c r="B121" s="13" t="s">
        <v>9</v>
      </c>
      <c r="C121" s="15"/>
      <c r="D121" s="15">
        <v>4</v>
      </c>
      <c r="E121" s="15"/>
      <c r="F121" s="15"/>
      <c r="G121" s="15">
        <v>1</v>
      </c>
      <c r="H121" s="15">
        <v>5</v>
      </c>
      <c r="K121" t="s">
        <v>238</v>
      </c>
      <c r="L121" t="s">
        <v>239</v>
      </c>
    </row>
    <row r="122" spans="2:14" x14ac:dyDescent="0.35">
      <c r="B122" s="13" t="s">
        <v>7</v>
      </c>
      <c r="C122" s="15">
        <v>91</v>
      </c>
      <c r="D122" s="15">
        <v>87</v>
      </c>
      <c r="E122" s="15">
        <v>97</v>
      </c>
      <c r="F122" s="15">
        <v>83</v>
      </c>
      <c r="G122" s="15">
        <v>53</v>
      </c>
      <c r="H122" s="15">
        <v>411</v>
      </c>
      <c r="K122" t="s">
        <v>238</v>
      </c>
      <c r="L122" t="s">
        <v>240</v>
      </c>
    </row>
    <row r="123" spans="2:14" x14ac:dyDescent="0.35">
      <c r="B123" s="13" t="s">
        <v>8</v>
      </c>
      <c r="C123" s="15">
        <v>18</v>
      </c>
      <c r="D123" s="15">
        <v>22</v>
      </c>
      <c r="E123" s="15">
        <v>21</v>
      </c>
      <c r="F123" s="15">
        <v>15</v>
      </c>
      <c r="G123" s="15">
        <v>16</v>
      </c>
      <c r="H123" s="15">
        <v>92</v>
      </c>
    </row>
    <row r="124" spans="2:14" x14ac:dyDescent="0.35">
      <c r="B124" s="13" t="s">
        <v>212</v>
      </c>
      <c r="C124" s="15">
        <v>109</v>
      </c>
      <c r="D124" s="15">
        <v>113</v>
      </c>
      <c r="E124" s="15">
        <v>118</v>
      </c>
      <c r="F124" s="15">
        <v>98</v>
      </c>
      <c r="G124" s="15">
        <v>70</v>
      </c>
      <c r="H124" s="15">
        <v>508</v>
      </c>
    </row>
  </sheetData>
  <mergeCells count="1">
    <mergeCell ref="E1:J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CCE3-B217-404A-AA03-9ED40BFB1B83}">
  <sheetPr>
    <tabColor theme="1" tint="0.499984740745262"/>
  </sheetPr>
  <dimension ref="A1:D64"/>
  <sheetViews>
    <sheetView showGridLines="0" zoomScale="115" zoomScaleNormal="115" workbookViewId="0">
      <selection activeCell="A12" sqref="A12"/>
    </sheetView>
  </sheetViews>
  <sheetFormatPr baseColWidth="10" defaultRowHeight="14.5" x14ac:dyDescent="0.35"/>
  <cols>
    <col min="2" max="2" width="35.81640625" customWidth="1"/>
    <col min="3" max="3" width="44.1796875" bestFit="1" customWidth="1"/>
    <col min="4" max="4" width="13" customWidth="1"/>
  </cols>
  <sheetData>
    <row r="1" spans="1:4" x14ac:dyDescent="0.35">
      <c r="A1" s="2" t="s">
        <v>5</v>
      </c>
      <c r="B1" s="2" t="s">
        <v>83</v>
      </c>
      <c r="C1" s="2" t="s">
        <v>84</v>
      </c>
      <c r="D1" s="2" t="s">
        <v>6</v>
      </c>
    </row>
    <row r="2" spans="1:4" x14ac:dyDescent="0.35">
      <c r="A2" s="9">
        <v>100</v>
      </c>
      <c r="B2" s="9" t="s">
        <v>213</v>
      </c>
      <c r="C2" s="9" t="s">
        <v>87</v>
      </c>
      <c r="D2" s="9" t="s">
        <v>86</v>
      </c>
    </row>
    <row r="3" spans="1:4" ht="14.5" customHeight="1" x14ac:dyDescent="0.35">
      <c r="A3" s="7">
        <v>101</v>
      </c>
      <c r="B3" s="7" t="s">
        <v>213</v>
      </c>
      <c r="C3" s="7" t="s">
        <v>88</v>
      </c>
      <c r="D3" s="7" t="s">
        <v>7</v>
      </c>
    </row>
    <row r="4" spans="1:4" ht="14.5" customHeight="1" x14ac:dyDescent="0.35">
      <c r="A4" s="7">
        <v>102</v>
      </c>
      <c r="B4" s="7" t="s">
        <v>213</v>
      </c>
      <c r="C4" s="7" t="s">
        <v>89</v>
      </c>
      <c r="D4" s="7" t="s">
        <v>7</v>
      </c>
    </row>
    <row r="5" spans="1:4" ht="14.5" customHeight="1" x14ac:dyDescent="0.35">
      <c r="A5" s="7">
        <v>103</v>
      </c>
      <c r="B5" s="7" t="s">
        <v>213</v>
      </c>
      <c r="C5" s="7" t="s">
        <v>90</v>
      </c>
      <c r="D5" s="7" t="s">
        <v>7</v>
      </c>
    </row>
    <row r="6" spans="1:4" ht="14.5" customHeight="1" x14ac:dyDescent="0.35">
      <c r="A6" s="7">
        <v>104</v>
      </c>
      <c r="B6" s="7" t="s">
        <v>213</v>
      </c>
      <c r="C6" s="7" t="s">
        <v>91</v>
      </c>
      <c r="D6" s="7" t="s">
        <v>8</v>
      </c>
    </row>
    <row r="7" spans="1:4" ht="14.5" customHeight="1" x14ac:dyDescent="0.35">
      <c r="A7" s="7">
        <v>105</v>
      </c>
      <c r="B7" s="7" t="s">
        <v>213</v>
      </c>
      <c r="C7" s="7" t="s">
        <v>92</v>
      </c>
      <c r="D7" s="7" t="s">
        <v>8</v>
      </c>
    </row>
    <row r="8" spans="1:4" ht="14.5" customHeight="1" x14ac:dyDescent="0.35">
      <c r="A8" s="7">
        <v>106</v>
      </c>
      <c r="B8" s="7" t="s">
        <v>213</v>
      </c>
      <c r="C8" s="7" t="s">
        <v>93</v>
      </c>
      <c r="D8" s="7" t="s">
        <v>7</v>
      </c>
    </row>
    <row r="9" spans="1:4" ht="14.5" customHeight="1" x14ac:dyDescent="0.35">
      <c r="A9" s="7">
        <v>107</v>
      </c>
      <c r="B9" s="7" t="s">
        <v>213</v>
      </c>
      <c r="C9" s="7" t="s">
        <v>94</v>
      </c>
      <c r="D9" s="7" t="s">
        <v>7</v>
      </c>
    </row>
    <row r="10" spans="1:4" ht="14.5" customHeight="1" x14ac:dyDescent="0.35">
      <c r="A10" s="7">
        <v>108</v>
      </c>
      <c r="B10" s="7" t="s">
        <v>213</v>
      </c>
      <c r="C10" s="7" t="s">
        <v>95</v>
      </c>
      <c r="D10" s="7" t="s">
        <v>7</v>
      </c>
    </row>
    <row r="11" spans="1:4" ht="14.5" customHeight="1" x14ac:dyDescent="0.35">
      <c r="A11" s="7">
        <v>109</v>
      </c>
      <c r="B11" s="7" t="s">
        <v>213</v>
      </c>
      <c r="C11" s="7" t="s">
        <v>96</v>
      </c>
      <c r="D11" s="7" t="s">
        <v>8</v>
      </c>
    </row>
    <row r="12" spans="1:4" ht="14.5" customHeight="1" x14ac:dyDescent="0.35">
      <c r="A12" s="7">
        <v>110</v>
      </c>
      <c r="B12" s="7" t="s">
        <v>213</v>
      </c>
      <c r="C12" s="7" t="s">
        <v>97</v>
      </c>
      <c r="D12" s="7" t="s">
        <v>7</v>
      </c>
    </row>
    <row r="13" spans="1:4" ht="14.5" customHeight="1" x14ac:dyDescent="0.35">
      <c r="A13" s="7">
        <v>111</v>
      </c>
      <c r="B13" s="7" t="s">
        <v>213</v>
      </c>
      <c r="C13" s="7" t="s">
        <v>98</v>
      </c>
      <c r="D13" s="7" t="s">
        <v>7</v>
      </c>
    </row>
    <row r="14" spans="1:4" ht="14.5" customHeight="1" x14ac:dyDescent="0.35">
      <c r="A14" s="7">
        <v>112</v>
      </c>
      <c r="B14" s="7" t="s">
        <v>213</v>
      </c>
      <c r="C14" s="7" t="s">
        <v>99</v>
      </c>
      <c r="D14" s="7" t="s">
        <v>7</v>
      </c>
    </row>
    <row r="15" spans="1:4" ht="14.5" customHeight="1" x14ac:dyDescent="0.35">
      <c r="A15" s="7">
        <v>113</v>
      </c>
      <c r="B15" s="7" t="s">
        <v>213</v>
      </c>
      <c r="C15" s="7" t="s">
        <v>100</v>
      </c>
      <c r="D15" s="7" t="s">
        <v>8</v>
      </c>
    </row>
    <row r="16" spans="1:4" ht="14.5" customHeight="1" x14ac:dyDescent="0.35">
      <c r="A16" s="7">
        <v>114</v>
      </c>
      <c r="B16" s="7" t="s">
        <v>213</v>
      </c>
      <c r="C16" s="7" t="s">
        <v>101</v>
      </c>
      <c r="D16" s="7" t="s">
        <v>7</v>
      </c>
    </row>
    <row r="17" spans="1:4" ht="14.5" customHeight="1" x14ac:dyDescent="0.35">
      <c r="A17" s="9">
        <v>200</v>
      </c>
      <c r="B17" s="9" t="s">
        <v>214</v>
      </c>
      <c r="C17" s="9" t="s">
        <v>144</v>
      </c>
      <c r="D17" s="9" t="s">
        <v>86</v>
      </c>
    </row>
    <row r="18" spans="1:4" ht="14.5" customHeight="1" x14ac:dyDescent="0.35">
      <c r="A18" s="7">
        <v>201</v>
      </c>
      <c r="B18" s="7" t="s">
        <v>214</v>
      </c>
      <c r="C18" s="7" t="s">
        <v>102</v>
      </c>
      <c r="D18" s="7" t="s">
        <v>7</v>
      </c>
    </row>
    <row r="19" spans="1:4" ht="14.5" customHeight="1" x14ac:dyDescent="0.35">
      <c r="A19" s="7">
        <v>202</v>
      </c>
      <c r="B19" s="7" t="s">
        <v>214</v>
      </c>
      <c r="C19" s="7" t="s">
        <v>103</v>
      </c>
      <c r="D19" s="7" t="s">
        <v>8</v>
      </c>
    </row>
    <row r="20" spans="1:4" ht="14.5" customHeight="1" x14ac:dyDescent="0.35">
      <c r="A20" s="7">
        <v>203</v>
      </c>
      <c r="B20" s="7" t="s">
        <v>214</v>
      </c>
      <c r="C20" s="7" t="s">
        <v>104</v>
      </c>
      <c r="D20" s="7" t="s">
        <v>9</v>
      </c>
    </row>
    <row r="21" spans="1:4" ht="14.5" customHeight="1" x14ac:dyDescent="0.35">
      <c r="A21" s="7">
        <v>204</v>
      </c>
      <c r="B21" s="7" t="s">
        <v>214</v>
      </c>
      <c r="C21" s="7" t="s">
        <v>105</v>
      </c>
      <c r="D21" s="7" t="s">
        <v>7</v>
      </c>
    </row>
    <row r="22" spans="1:4" ht="14.5" customHeight="1" x14ac:dyDescent="0.35">
      <c r="A22" s="7">
        <v>205</v>
      </c>
      <c r="B22" s="7" t="s">
        <v>214</v>
      </c>
      <c r="C22" s="7" t="s">
        <v>106</v>
      </c>
      <c r="D22" s="7" t="s">
        <v>7</v>
      </c>
    </row>
    <row r="23" spans="1:4" ht="14.5" customHeight="1" x14ac:dyDescent="0.35">
      <c r="A23" s="7">
        <v>206</v>
      </c>
      <c r="B23" s="7" t="s">
        <v>214</v>
      </c>
      <c r="C23" s="7" t="s">
        <v>107</v>
      </c>
      <c r="D23" s="7" t="s">
        <v>8</v>
      </c>
    </row>
    <row r="24" spans="1:4" ht="14.5" customHeight="1" x14ac:dyDescent="0.35">
      <c r="A24" s="7">
        <v>207</v>
      </c>
      <c r="B24" s="7" t="s">
        <v>214</v>
      </c>
      <c r="C24" s="7" t="s">
        <v>108</v>
      </c>
      <c r="D24" s="7" t="s">
        <v>8</v>
      </c>
    </row>
    <row r="25" spans="1:4" ht="14.5" customHeight="1" x14ac:dyDescent="0.35">
      <c r="A25" s="7">
        <v>208</v>
      </c>
      <c r="B25" s="7" t="s">
        <v>214</v>
      </c>
      <c r="C25" s="7" t="s">
        <v>109</v>
      </c>
      <c r="D25" s="7" t="s">
        <v>7</v>
      </c>
    </row>
    <row r="26" spans="1:4" ht="14.5" customHeight="1" x14ac:dyDescent="0.35">
      <c r="A26" s="7">
        <v>209</v>
      </c>
      <c r="B26" s="7" t="s">
        <v>214</v>
      </c>
      <c r="C26" s="7" t="s">
        <v>110</v>
      </c>
      <c r="D26" s="7" t="s">
        <v>8</v>
      </c>
    </row>
    <row r="27" spans="1:4" ht="14.5" customHeight="1" x14ac:dyDescent="0.35">
      <c r="A27" s="7">
        <v>210</v>
      </c>
      <c r="B27" s="7" t="s">
        <v>214</v>
      </c>
      <c r="C27" s="7" t="s">
        <v>111</v>
      </c>
      <c r="D27" s="7" t="s">
        <v>7</v>
      </c>
    </row>
    <row r="28" spans="1:4" ht="14.5" customHeight="1" x14ac:dyDescent="0.35">
      <c r="A28" s="9">
        <v>300</v>
      </c>
      <c r="B28" s="9" t="s">
        <v>215</v>
      </c>
      <c r="C28" s="9" t="s">
        <v>143</v>
      </c>
      <c r="D28" s="9" t="s">
        <v>86</v>
      </c>
    </row>
    <row r="29" spans="1:4" ht="14.5" customHeight="1" x14ac:dyDescent="0.35">
      <c r="A29" s="7">
        <v>301</v>
      </c>
      <c r="B29" s="7" t="s">
        <v>215</v>
      </c>
      <c r="C29" s="7" t="s">
        <v>112</v>
      </c>
      <c r="D29" s="7" t="s">
        <v>7</v>
      </c>
    </row>
    <row r="30" spans="1:4" ht="14.5" customHeight="1" x14ac:dyDescent="0.35">
      <c r="A30" s="7">
        <v>302</v>
      </c>
      <c r="B30" s="7" t="s">
        <v>215</v>
      </c>
      <c r="C30" s="7" t="s">
        <v>113</v>
      </c>
      <c r="D30" s="7" t="s">
        <v>7</v>
      </c>
    </row>
    <row r="31" spans="1:4" ht="14.5" customHeight="1" x14ac:dyDescent="0.35">
      <c r="A31" s="7">
        <v>303</v>
      </c>
      <c r="B31" s="7" t="s">
        <v>215</v>
      </c>
      <c r="C31" s="7" t="s">
        <v>114</v>
      </c>
      <c r="D31" s="7" t="s">
        <v>7</v>
      </c>
    </row>
    <row r="32" spans="1:4" ht="14.5" customHeight="1" x14ac:dyDescent="0.35">
      <c r="A32" s="7">
        <v>304</v>
      </c>
      <c r="B32" s="7" t="s">
        <v>215</v>
      </c>
      <c r="C32" s="7" t="s">
        <v>115</v>
      </c>
      <c r="D32" s="7" t="s">
        <v>7</v>
      </c>
    </row>
    <row r="33" spans="1:4" ht="14.5" customHeight="1" x14ac:dyDescent="0.35">
      <c r="A33" s="7">
        <v>305</v>
      </c>
      <c r="B33" s="7" t="s">
        <v>215</v>
      </c>
      <c r="C33" s="7" t="s">
        <v>116</v>
      </c>
      <c r="D33" s="7" t="s">
        <v>7</v>
      </c>
    </row>
    <row r="34" spans="1:4" ht="14.5" customHeight="1" x14ac:dyDescent="0.35">
      <c r="A34" s="7">
        <v>306</v>
      </c>
      <c r="B34" s="7" t="s">
        <v>215</v>
      </c>
      <c r="C34" s="7" t="s">
        <v>117</v>
      </c>
      <c r="D34" s="7" t="s">
        <v>7</v>
      </c>
    </row>
    <row r="35" spans="1:4" ht="14.5" customHeight="1" x14ac:dyDescent="0.35">
      <c r="A35" s="7">
        <v>307</v>
      </c>
      <c r="B35" s="7" t="s">
        <v>215</v>
      </c>
      <c r="C35" s="7" t="s">
        <v>118</v>
      </c>
      <c r="D35" s="7" t="s">
        <v>7</v>
      </c>
    </row>
    <row r="36" spans="1:4" ht="14.5" customHeight="1" x14ac:dyDescent="0.35">
      <c r="A36" s="7">
        <v>308</v>
      </c>
      <c r="B36" s="7" t="s">
        <v>215</v>
      </c>
      <c r="C36" s="7" t="s">
        <v>119</v>
      </c>
      <c r="D36" s="7" t="s">
        <v>7</v>
      </c>
    </row>
    <row r="37" spans="1:4" ht="14.5" customHeight="1" x14ac:dyDescent="0.35">
      <c r="A37" s="9">
        <v>400</v>
      </c>
      <c r="B37" s="10" t="s">
        <v>216</v>
      </c>
      <c r="C37" s="9" t="s">
        <v>145</v>
      </c>
      <c r="D37" s="9" t="s">
        <v>86</v>
      </c>
    </row>
    <row r="38" spans="1:4" ht="14.5" customHeight="1" x14ac:dyDescent="0.35">
      <c r="A38" s="7">
        <v>401</v>
      </c>
      <c r="B38" s="7" t="s">
        <v>216</v>
      </c>
      <c r="C38" s="7" t="s">
        <v>120</v>
      </c>
      <c r="D38" s="7" t="s">
        <v>7</v>
      </c>
    </row>
    <row r="39" spans="1:4" ht="14.5" customHeight="1" x14ac:dyDescent="0.35">
      <c r="A39" s="7">
        <v>402</v>
      </c>
      <c r="B39" s="7" t="s">
        <v>216</v>
      </c>
      <c r="C39" s="7" t="s">
        <v>121</v>
      </c>
      <c r="D39" s="7" t="s">
        <v>7</v>
      </c>
    </row>
    <row r="40" spans="1:4" ht="14.5" customHeight="1" x14ac:dyDescent="0.35">
      <c r="A40" s="7">
        <v>403</v>
      </c>
      <c r="B40" s="7" t="s">
        <v>216</v>
      </c>
      <c r="C40" s="7" t="s">
        <v>122</v>
      </c>
      <c r="D40" s="7" t="s">
        <v>8</v>
      </c>
    </row>
    <row r="41" spans="1:4" ht="14.5" customHeight="1" x14ac:dyDescent="0.35">
      <c r="A41" s="7">
        <v>404</v>
      </c>
      <c r="B41" s="7" t="s">
        <v>216</v>
      </c>
      <c r="C41" s="7" t="s">
        <v>109</v>
      </c>
      <c r="D41" s="7" t="s">
        <v>7</v>
      </c>
    </row>
    <row r="42" spans="1:4" ht="14.5" customHeight="1" x14ac:dyDescent="0.35">
      <c r="A42" s="7">
        <v>405</v>
      </c>
      <c r="B42" s="7" t="s">
        <v>216</v>
      </c>
      <c r="C42" s="7" t="s">
        <v>123</v>
      </c>
      <c r="D42" s="7" t="s">
        <v>8</v>
      </c>
    </row>
    <row r="43" spans="1:4" ht="14.5" customHeight="1" x14ac:dyDescent="0.35">
      <c r="A43" s="7">
        <v>406</v>
      </c>
      <c r="B43" s="7" t="s">
        <v>216</v>
      </c>
      <c r="C43" s="7" t="s">
        <v>124</v>
      </c>
      <c r="D43" s="7" t="s">
        <v>7</v>
      </c>
    </row>
    <row r="44" spans="1:4" ht="14.5" customHeight="1" x14ac:dyDescent="0.35">
      <c r="A44" s="7">
        <v>407</v>
      </c>
      <c r="B44" s="7" t="s">
        <v>216</v>
      </c>
      <c r="C44" s="7" t="s">
        <v>125</v>
      </c>
      <c r="D44" s="7" t="s">
        <v>7</v>
      </c>
    </row>
    <row r="45" spans="1:4" ht="14.5" customHeight="1" x14ac:dyDescent="0.35">
      <c r="A45" s="7">
        <v>408</v>
      </c>
      <c r="B45" s="7" t="s">
        <v>216</v>
      </c>
      <c r="C45" s="7" t="s">
        <v>126</v>
      </c>
      <c r="D45" s="7" t="s">
        <v>7</v>
      </c>
    </row>
    <row r="46" spans="1:4" ht="14.5" customHeight="1" x14ac:dyDescent="0.35">
      <c r="A46" s="7">
        <v>409</v>
      </c>
      <c r="B46" s="7" t="s">
        <v>216</v>
      </c>
      <c r="C46" s="7" t="s">
        <v>127</v>
      </c>
      <c r="D46" s="7" t="s">
        <v>7</v>
      </c>
    </row>
    <row r="47" spans="1:4" ht="14.5" customHeight="1" x14ac:dyDescent="0.35">
      <c r="A47" s="14">
        <v>500</v>
      </c>
      <c r="B47" s="14" t="s">
        <v>217</v>
      </c>
      <c r="C47" s="14" t="s">
        <v>146</v>
      </c>
      <c r="D47" s="9" t="s">
        <v>86</v>
      </c>
    </row>
    <row r="48" spans="1:4" ht="14.5" customHeight="1" x14ac:dyDescent="0.35">
      <c r="A48" s="7">
        <v>501</v>
      </c>
      <c r="B48" s="7" t="s">
        <v>217</v>
      </c>
      <c r="C48" s="7" t="s">
        <v>128</v>
      </c>
      <c r="D48" s="7" t="s">
        <v>7</v>
      </c>
    </row>
    <row r="49" spans="1:4" ht="14.5" customHeight="1" x14ac:dyDescent="0.35">
      <c r="A49" s="7">
        <v>502</v>
      </c>
      <c r="B49" s="7" t="s">
        <v>217</v>
      </c>
      <c r="C49" s="7" t="s">
        <v>129</v>
      </c>
      <c r="D49" s="7" t="s">
        <v>7</v>
      </c>
    </row>
    <row r="50" spans="1:4" ht="14.5" customHeight="1" x14ac:dyDescent="0.35">
      <c r="A50" s="7">
        <v>503</v>
      </c>
      <c r="B50" s="7" t="s">
        <v>217</v>
      </c>
      <c r="C50" s="7" t="s">
        <v>130</v>
      </c>
      <c r="D50" s="7" t="s">
        <v>7</v>
      </c>
    </row>
    <row r="51" spans="1:4" ht="14.5" customHeight="1" x14ac:dyDescent="0.35">
      <c r="A51" s="7">
        <v>504</v>
      </c>
      <c r="B51" s="7" t="s">
        <v>217</v>
      </c>
      <c r="C51" s="7" t="s">
        <v>131</v>
      </c>
      <c r="D51" s="7" t="s">
        <v>7</v>
      </c>
    </row>
    <row r="52" spans="1:4" ht="14.5" customHeight="1" x14ac:dyDescent="0.35">
      <c r="A52" s="7">
        <v>505</v>
      </c>
      <c r="B52" s="7" t="s">
        <v>217</v>
      </c>
      <c r="C52" s="7" t="s">
        <v>132</v>
      </c>
      <c r="D52" s="7" t="s">
        <v>7</v>
      </c>
    </row>
    <row r="53" spans="1:4" ht="14.5" customHeight="1" x14ac:dyDescent="0.35">
      <c r="A53" s="7">
        <v>506</v>
      </c>
      <c r="B53" s="7" t="s">
        <v>217</v>
      </c>
      <c r="C53" s="7" t="s">
        <v>133</v>
      </c>
      <c r="D53" s="7" t="s">
        <v>7</v>
      </c>
    </row>
    <row r="54" spans="1:4" ht="14.5" customHeight="1" x14ac:dyDescent="0.35">
      <c r="A54" s="7">
        <v>507</v>
      </c>
      <c r="B54" s="7" t="s">
        <v>217</v>
      </c>
      <c r="C54" s="7" t="s">
        <v>134</v>
      </c>
      <c r="D54" s="7" t="s">
        <v>7</v>
      </c>
    </row>
    <row r="55" spans="1:4" ht="14.5" customHeight="1" x14ac:dyDescent="0.35">
      <c r="A55" s="7">
        <v>508</v>
      </c>
      <c r="B55" s="7" t="s">
        <v>217</v>
      </c>
      <c r="C55" s="7" t="s">
        <v>135</v>
      </c>
      <c r="D55" s="7" t="s">
        <v>7</v>
      </c>
    </row>
    <row r="56" spans="1:4" ht="14.5" customHeight="1" x14ac:dyDescent="0.35">
      <c r="A56" s="14">
        <v>700</v>
      </c>
      <c r="B56" s="14" t="s">
        <v>218</v>
      </c>
      <c r="C56" s="9" t="s">
        <v>147</v>
      </c>
      <c r="D56" s="9" t="s">
        <v>86</v>
      </c>
    </row>
    <row r="57" spans="1:4" ht="14.5" customHeight="1" x14ac:dyDescent="0.35">
      <c r="A57" s="7">
        <v>701</v>
      </c>
      <c r="B57" s="7" t="s">
        <v>218</v>
      </c>
      <c r="C57" s="7" t="s">
        <v>136</v>
      </c>
      <c r="D57" s="7" t="s">
        <v>7</v>
      </c>
    </row>
    <row r="58" spans="1:4" ht="14.5" customHeight="1" x14ac:dyDescent="0.35">
      <c r="A58" s="7">
        <v>702</v>
      </c>
      <c r="B58" s="7" t="s">
        <v>218</v>
      </c>
      <c r="C58" s="7" t="s">
        <v>137</v>
      </c>
      <c r="D58" s="7" t="s">
        <v>7</v>
      </c>
    </row>
    <row r="59" spans="1:4" ht="14.5" customHeight="1" x14ac:dyDescent="0.35">
      <c r="A59" s="7">
        <v>703</v>
      </c>
      <c r="B59" s="7" t="s">
        <v>218</v>
      </c>
      <c r="C59" s="7" t="s">
        <v>138</v>
      </c>
      <c r="D59" s="7" t="s">
        <v>7</v>
      </c>
    </row>
    <row r="60" spans="1:4" ht="14.5" customHeight="1" x14ac:dyDescent="0.35">
      <c r="A60" s="7">
        <v>704</v>
      </c>
      <c r="B60" s="7" t="s">
        <v>218</v>
      </c>
      <c r="C60" s="7" t="s">
        <v>139</v>
      </c>
      <c r="D60" s="7" t="s">
        <v>7</v>
      </c>
    </row>
    <row r="61" spans="1:4" ht="14.5" customHeight="1" x14ac:dyDescent="0.35">
      <c r="A61" s="7">
        <v>705</v>
      </c>
      <c r="B61" s="7" t="s">
        <v>218</v>
      </c>
      <c r="C61" s="7" t="s">
        <v>140</v>
      </c>
      <c r="D61" s="7" t="s">
        <v>8</v>
      </c>
    </row>
    <row r="62" spans="1:4" ht="14.5" customHeight="1" x14ac:dyDescent="0.35">
      <c r="A62" s="14">
        <v>800</v>
      </c>
      <c r="B62" s="14" t="s">
        <v>219</v>
      </c>
      <c r="C62" s="9" t="s">
        <v>148</v>
      </c>
      <c r="D62" s="9" t="s">
        <v>86</v>
      </c>
    </row>
    <row r="63" spans="1:4" ht="14.5" customHeight="1" x14ac:dyDescent="0.35">
      <c r="A63" s="7">
        <v>801</v>
      </c>
      <c r="B63" s="7" t="s">
        <v>219</v>
      </c>
      <c r="C63" s="7" t="s">
        <v>141</v>
      </c>
      <c r="D63" s="7" t="s">
        <v>7</v>
      </c>
    </row>
    <row r="64" spans="1:4" ht="14.5" customHeight="1" x14ac:dyDescent="0.35">
      <c r="A64" s="7">
        <v>802</v>
      </c>
      <c r="B64" s="7" t="s">
        <v>219</v>
      </c>
      <c r="C64" s="7" t="s">
        <v>142</v>
      </c>
      <c r="D64" s="7" t="s">
        <v>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B57E-5424-42E9-8E72-B0CD443FB0A3}">
  <sheetPr>
    <tabColor theme="1" tint="0.499984740745262"/>
  </sheetPr>
  <dimension ref="A1:B54"/>
  <sheetViews>
    <sheetView showGridLines="0" workbookViewId="0">
      <selection activeCell="B1" sqref="B1"/>
    </sheetView>
  </sheetViews>
  <sheetFormatPr baseColWidth="10" defaultRowHeight="14.5" x14ac:dyDescent="0.35"/>
  <cols>
    <col min="1" max="1" width="16" customWidth="1"/>
    <col min="2" max="2" width="24.08984375" customWidth="1"/>
  </cols>
  <sheetData>
    <row r="1" spans="1:2" x14ac:dyDescent="0.35">
      <c r="A1" s="3" t="s">
        <v>10</v>
      </c>
      <c r="B1" s="6" t="s">
        <v>28</v>
      </c>
    </row>
    <row r="2" spans="1:2" x14ac:dyDescent="0.35">
      <c r="A2" s="3" t="s">
        <v>10</v>
      </c>
      <c r="B2" s="6" t="s">
        <v>29</v>
      </c>
    </row>
    <row r="3" spans="1:2" x14ac:dyDescent="0.35">
      <c r="A3" s="3" t="s">
        <v>10</v>
      </c>
      <c r="B3" s="6" t="s">
        <v>30</v>
      </c>
    </row>
    <row r="4" spans="1:2" x14ac:dyDescent="0.35">
      <c r="A4" s="3" t="s">
        <v>11</v>
      </c>
      <c r="B4" s="6" t="s">
        <v>31</v>
      </c>
    </row>
    <row r="5" spans="1:2" x14ac:dyDescent="0.35">
      <c r="A5" s="3" t="s">
        <v>11</v>
      </c>
      <c r="B5" s="6" t="s">
        <v>32</v>
      </c>
    </row>
    <row r="6" spans="1:2" x14ac:dyDescent="0.35">
      <c r="A6" s="3" t="s">
        <v>11</v>
      </c>
      <c r="B6" s="6" t="s">
        <v>33</v>
      </c>
    </row>
    <row r="7" spans="1:2" x14ac:dyDescent="0.35">
      <c r="A7" s="3" t="s">
        <v>12</v>
      </c>
      <c r="B7" s="6" t="s">
        <v>34</v>
      </c>
    </row>
    <row r="8" spans="1:2" x14ac:dyDescent="0.35">
      <c r="A8" s="3" t="s">
        <v>12</v>
      </c>
      <c r="B8" s="6" t="s">
        <v>35</v>
      </c>
    </row>
    <row r="9" spans="1:2" x14ac:dyDescent="0.35">
      <c r="A9" s="3" t="s">
        <v>12</v>
      </c>
      <c r="B9" s="6" t="s">
        <v>36</v>
      </c>
    </row>
    <row r="10" spans="1:2" x14ac:dyDescent="0.35">
      <c r="A10" s="3" t="s">
        <v>13</v>
      </c>
      <c r="B10" s="6" t="s">
        <v>37</v>
      </c>
    </row>
    <row r="11" spans="1:2" x14ac:dyDescent="0.35">
      <c r="A11" s="3" t="s">
        <v>13</v>
      </c>
      <c r="B11" s="6" t="s">
        <v>38</v>
      </c>
    </row>
    <row r="12" spans="1:2" x14ac:dyDescent="0.35">
      <c r="A12" s="3" t="s">
        <v>13</v>
      </c>
      <c r="B12" s="6" t="s">
        <v>39</v>
      </c>
    </row>
    <row r="13" spans="1:2" x14ac:dyDescent="0.35">
      <c r="A13" s="3" t="s">
        <v>14</v>
      </c>
      <c r="B13" s="6" t="s">
        <v>40</v>
      </c>
    </row>
    <row r="14" spans="1:2" x14ac:dyDescent="0.35">
      <c r="A14" s="3" t="s">
        <v>14</v>
      </c>
      <c r="B14" s="6" t="s">
        <v>41</v>
      </c>
    </row>
    <row r="15" spans="1:2" x14ac:dyDescent="0.35">
      <c r="A15" s="3" t="s">
        <v>14</v>
      </c>
      <c r="B15" s="6" t="s">
        <v>42</v>
      </c>
    </row>
    <row r="16" spans="1:2" x14ac:dyDescent="0.35">
      <c r="A16" s="3" t="s">
        <v>15</v>
      </c>
      <c r="B16" s="6" t="s">
        <v>43</v>
      </c>
    </row>
    <row r="17" spans="1:2" x14ac:dyDescent="0.35">
      <c r="A17" s="3" t="s">
        <v>15</v>
      </c>
      <c r="B17" s="6" t="s">
        <v>44</v>
      </c>
    </row>
    <row r="18" spans="1:2" x14ac:dyDescent="0.35">
      <c r="A18" s="3" t="s">
        <v>15</v>
      </c>
      <c r="B18" s="6" t="s">
        <v>45</v>
      </c>
    </row>
    <row r="19" spans="1:2" x14ac:dyDescent="0.35">
      <c r="A19" s="3" t="s">
        <v>16</v>
      </c>
      <c r="B19" s="6" t="s">
        <v>46</v>
      </c>
    </row>
    <row r="20" spans="1:2" x14ac:dyDescent="0.35">
      <c r="A20" s="3" t="s">
        <v>16</v>
      </c>
      <c r="B20" s="6" t="s">
        <v>47</v>
      </c>
    </row>
    <row r="21" spans="1:2" x14ac:dyDescent="0.35">
      <c r="A21" s="3" t="s">
        <v>16</v>
      </c>
      <c r="B21" s="6" t="s">
        <v>48</v>
      </c>
    </row>
    <row r="22" spans="1:2" x14ac:dyDescent="0.35">
      <c r="A22" s="3" t="s">
        <v>17</v>
      </c>
      <c r="B22" s="6" t="s">
        <v>49</v>
      </c>
    </row>
    <row r="23" spans="1:2" x14ac:dyDescent="0.35">
      <c r="A23" s="3" t="s">
        <v>17</v>
      </c>
      <c r="B23" s="6" t="s">
        <v>50</v>
      </c>
    </row>
    <row r="24" spans="1:2" x14ac:dyDescent="0.35">
      <c r="A24" s="3" t="s">
        <v>17</v>
      </c>
      <c r="B24" s="6" t="s">
        <v>51</v>
      </c>
    </row>
    <row r="25" spans="1:2" x14ac:dyDescent="0.35">
      <c r="A25" s="3" t="s">
        <v>18</v>
      </c>
      <c r="B25" s="6" t="s">
        <v>52</v>
      </c>
    </row>
    <row r="26" spans="1:2" x14ac:dyDescent="0.35">
      <c r="A26" s="3" t="s">
        <v>18</v>
      </c>
      <c r="B26" s="6" t="s">
        <v>53</v>
      </c>
    </row>
    <row r="27" spans="1:2" x14ac:dyDescent="0.35">
      <c r="A27" s="3" t="s">
        <v>18</v>
      </c>
      <c r="B27" s="6" t="s">
        <v>54</v>
      </c>
    </row>
    <row r="28" spans="1:2" x14ac:dyDescent="0.35">
      <c r="A28" s="3" t="s">
        <v>19</v>
      </c>
      <c r="B28" s="6" t="s">
        <v>55</v>
      </c>
    </row>
    <row r="29" spans="1:2" x14ac:dyDescent="0.35">
      <c r="A29" s="3" t="s">
        <v>19</v>
      </c>
      <c r="B29" s="6" t="s">
        <v>56</v>
      </c>
    </row>
    <row r="30" spans="1:2" x14ac:dyDescent="0.35">
      <c r="A30" s="3" t="s">
        <v>19</v>
      </c>
      <c r="B30" s="6" t="s">
        <v>57</v>
      </c>
    </row>
    <row r="31" spans="1:2" x14ac:dyDescent="0.35">
      <c r="A31" s="3" t="s">
        <v>20</v>
      </c>
      <c r="B31" s="6" t="s">
        <v>58</v>
      </c>
    </row>
    <row r="32" spans="1:2" x14ac:dyDescent="0.35">
      <c r="A32" s="3" t="s">
        <v>20</v>
      </c>
      <c r="B32" s="6" t="s">
        <v>59</v>
      </c>
    </row>
    <row r="33" spans="1:2" x14ac:dyDescent="0.35">
      <c r="A33" s="3" t="s">
        <v>20</v>
      </c>
      <c r="B33" s="6" t="s">
        <v>60</v>
      </c>
    </row>
    <row r="34" spans="1:2" x14ac:dyDescent="0.35">
      <c r="A34" s="3" t="s">
        <v>21</v>
      </c>
      <c r="B34" s="6" t="s">
        <v>61</v>
      </c>
    </row>
    <row r="35" spans="1:2" x14ac:dyDescent="0.35">
      <c r="A35" s="3" t="s">
        <v>21</v>
      </c>
      <c r="B35" s="6" t="s">
        <v>62</v>
      </c>
    </row>
    <row r="36" spans="1:2" x14ac:dyDescent="0.35">
      <c r="A36" s="3" t="s">
        <v>21</v>
      </c>
      <c r="B36" s="6" t="s">
        <v>63</v>
      </c>
    </row>
    <row r="37" spans="1:2" x14ac:dyDescent="0.35">
      <c r="A37" s="3" t="s">
        <v>22</v>
      </c>
      <c r="B37" s="6" t="s">
        <v>64</v>
      </c>
    </row>
    <row r="38" spans="1:2" x14ac:dyDescent="0.35">
      <c r="A38" s="3" t="s">
        <v>22</v>
      </c>
      <c r="B38" s="6" t="s">
        <v>65</v>
      </c>
    </row>
    <row r="39" spans="1:2" x14ac:dyDescent="0.35">
      <c r="A39" s="3" t="s">
        <v>22</v>
      </c>
      <c r="B39" s="6" t="s">
        <v>66</v>
      </c>
    </row>
    <row r="40" spans="1:2" x14ac:dyDescent="0.35">
      <c r="A40" s="3" t="s">
        <v>23</v>
      </c>
      <c r="B40" s="6" t="s">
        <v>67</v>
      </c>
    </row>
    <row r="41" spans="1:2" x14ac:dyDescent="0.35">
      <c r="A41" s="3" t="s">
        <v>23</v>
      </c>
      <c r="B41" s="6" t="s">
        <v>68</v>
      </c>
    </row>
    <row r="42" spans="1:2" x14ac:dyDescent="0.35">
      <c r="A42" s="3" t="s">
        <v>23</v>
      </c>
      <c r="B42" s="6" t="s">
        <v>69</v>
      </c>
    </row>
    <row r="43" spans="1:2" x14ac:dyDescent="0.35">
      <c r="A43" s="4" t="s">
        <v>24</v>
      </c>
      <c r="B43" s="6" t="s">
        <v>70</v>
      </c>
    </row>
    <row r="44" spans="1:2" x14ac:dyDescent="0.35">
      <c r="A44" s="3" t="s">
        <v>24</v>
      </c>
      <c r="B44" s="6" t="s">
        <v>71</v>
      </c>
    </row>
    <row r="45" spans="1:2" x14ac:dyDescent="0.35">
      <c r="A45" s="3" t="s">
        <v>24</v>
      </c>
      <c r="B45" s="6" t="s">
        <v>72</v>
      </c>
    </row>
    <row r="46" spans="1:2" x14ac:dyDescent="0.35">
      <c r="A46" s="5" t="s">
        <v>25</v>
      </c>
      <c r="B46" s="6" t="s">
        <v>73</v>
      </c>
    </row>
    <row r="47" spans="1:2" x14ac:dyDescent="0.35">
      <c r="A47" s="3" t="s">
        <v>25</v>
      </c>
      <c r="B47" s="6" t="s">
        <v>74</v>
      </c>
    </row>
    <row r="48" spans="1:2" x14ac:dyDescent="0.35">
      <c r="A48" s="3" t="s">
        <v>25</v>
      </c>
      <c r="B48" s="6" t="s">
        <v>75</v>
      </c>
    </row>
    <row r="49" spans="1:2" x14ac:dyDescent="0.35">
      <c r="A49" s="5" t="s">
        <v>26</v>
      </c>
      <c r="B49" s="6" t="s">
        <v>76</v>
      </c>
    </row>
    <row r="50" spans="1:2" x14ac:dyDescent="0.35">
      <c r="A50" s="3" t="s">
        <v>26</v>
      </c>
      <c r="B50" s="6" t="s">
        <v>77</v>
      </c>
    </row>
    <row r="51" spans="1:2" x14ac:dyDescent="0.35">
      <c r="A51" s="3" t="s">
        <v>26</v>
      </c>
      <c r="B51" s="6" t="s">
        <v>78</v>
      </c>
    </row>
    <row r="52" spans="1:2" x14ac:dyDescent="0.35">
      <c r="A52" s="4" t="s">
        <v>27</v>
      </c>
      <c r="B52" s="6" t="s">
        <v>79</v>
      </c>
    </row>
    <row r="53" spans="1:2" x14ac:dyDescent="0.35">
      <c r="A53" s="3" t="s">
        <v>27</v>
      </c>
      <c r="B53" s="6" t="s">
        <v>80</v>
      </c>
    </row>
    <row r="54" spans="1:2" x14ac:dyDescent="0.35">
      <c r="A54" s="3" t="s">
        <v>27</v>
      </c>
      <c r="B54" s="6" t="s">
        <v>81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243-FF13-409A-AA18-EA91CF7F455F}">
  <sheetPr>
    <tabColor theme="1" tint="0.499984740745262"/>
  </sheetPr>
  <dimension ref="A1:A18"/>
  <sheetViews>
    <sheetView showGridLines="0" workbookViewId="0">
      <selection sqref="A1:A18"/>
    </sheetView>
  </sheetViews>
  <sheetFormatPr baseColWidth="10" defaultRowHeight="14.5" x14ac:dyDescent="0.35"/>
  <sheetData>
    <row r="1" spans="1:1" x14ac:dyDescent="0.35">
      <c r="A1" s="3" t="s">
        <v>10</v>
      </c>
    </row>
    <row r="2" spans="1:1" x14ac:dyDescent="0.35">
      <c r="A2" s="3" t="s">
        <v>11</v>
      </c>
    </row>
    <row r="3" spans="1:1" x14ac:dyDescent="0.35">
      <c r="A3" s="3" t="s">
        <v>12</v>
      </c>
    </row>
    <row r="4" spans="1:1" x14ac:dyDescent="0.35">
      <c r="A4" s="3" t="s">
        <v>13</v>
      </c>
    </row>
    <row r="5" spans="1:1" x14ac:dyDescent="0.35">
      <c r="A5" s="3" t="s">
        <v>14</v>
      </c>
    </row>
    <row r="6" spans="1:1" x14ac:dyDescent="0.35">
      <c r="A6" s="3" t="s">
        <v>15</v>
      </c>
    </row>
    <row r="7" spans="1:1" x14ac:dyDescent="0.35">
      <c r="A7" s="3" t="s">
        <v>16</v>
      </c>
    </row>
    <row r="8" spans="1:1" x14ac:dyDescent="0.35">
      <c r="A8" s="3" t="s">
        <v>17</v>
      </c>
    </row>
    <row r="9" spans="1:1" x14ac:dyDescent="0.35">
      <c r="A9" s="3" t="s">
        <v>18</v>
      </c>
    </row>
    <row r="10" spans="1:1" x14ac:dyDescent="0.35">
      <c r="A10" s="3" t="s">
        <v>19</v>
      </c>
    </row>
    <row r="11" spans="1:1" x14ac:dyDescent="0.35">
      <c r="A11" s="3" t="s">
        <v>20</v>
      </c>
    </row>
    <row r="12" spans="1:1" x14ac:dyDescent="0.35">
      <c r="A12" s="3" t="s">
        <v>21</v>
      </c>
    </row>
    <row r="13" spans="1:1" x14ac:dyDescent="0.35">
      <c r="A13" s="3" t="s">
        <v>22</v>
      </c>
    </row>
    <row r="14" spans="1:1" x14ac:dyDescent="0.35">
      <c r="A14" s="3" t="s">
        <v>23</v>
      </c>
    </row>
    <row r="15" spans="1:1" x14ac:dyDescent="0.35">
      <c r="A15" s="4" t="s">
        <v>24</v>
      </c>
    </row>
    <row r="16" spans="1:1" x14ac:dyDescent="0.35">
      <c r="A16" s="5" t="s">
        <v>25</v>
      </c>
    </row>
    <row r="17" spans="1:1" x14ac:dyDescent="0.35">
      <c r="A17" s="5" t="s">
        <v>26</v>
      </c>
    </row>
    <row r="18" spans="1:1" x14ac:dyDescent="0.35">
      <c r="A18" s="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513-A1B6-4790-BECE-D790EEA5C4CD}">
  <sheetPr>
    <tabColor theme="1" tint="0.499984740745262"/>
  </sheetPr>
  <dimension ref="A1:B7"/>
  <sheetViews>
    <sheetView showGridLines="0" workbookViewId="0">
      <selection sqref="A1:A7"/>
    </sheetView>
  </sheetViews>
  <sheetFormatPr baseColWidth="10" defaultRowHeight="14.5" x14ac:dyDescent="0.35"/>
  <sheetData>
    <row r="1" spans="1:2" x14ac:dyDescent="0.35">
      <c r="A1" s="3" t="s">
        <v>204</v>
      </c>
      <c r="B1" s="11"/>
    </row>
    <row r="2" spans="1:2" x14ac:dyDescent="0.35">
      <c r="A2" s="3" t="s">
        <v>205</v>
      </c>
      <c r="B2" s="11"/>
    </row>
    <row r="3" spans="1:2" x14ac:dyDescent="0.35">
      <c r="A3" s="3" t="s">
        <v>206</v>
      </c>
      <c r="B3" s="11"/>
    </row>
    <row r="4" spans="1:2" x14ac:dyDescent="0.35">
      <c r="A4" s="3" t="s">
        <v>207</v>
      </c>
      <c r="B4" s="11"/>
    </row>
    <row r="5" spans="1:2" x14ac:dyDescent="0.35">
      <c r="A5" s="3" t="s">
        <v>209</v>
      </c>
      <c r="B5" s="11"/>
    </row>
    <row r="6" spans="1:2" x14ac:dyDescent="0.35">
      <c r="A6" s="3" t="s">
        <v>210</v>
      </c>
      <c r="B6" s="11"/>
    </row>
    <row r="7" spans="1:2" x14ac:dyDescent="0.35">
      <c r="A7" s="3" t="s">
        <v>208</v>
      </c>
      <c r="B7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1413-08DD-4125-99CB-D8D46565716D}">
  <sheetPr>
    <tabColor theme="1" tint="0.499984740745262"/>
  </sheetPr>
  <dimension ref="A1:B365"/>
  <sheetViews>
    <sheetView showGridLines="0" topLeftCell="A346" workbookViewId="0">
      <selection sqref="A1:A365"/>
    </sheetView>
  </sheetViews>
  <sheetFormatPr baseColWidth="10" defaultRowHeight="14.5" x14ac:dyDescent="0.35"/>
  <cols>
    <col min="1" max="1" width="18.6328125" customWidth="1"/>
  </cols>
  <sheetData>
    <row r="1" spans="1:2" x14ac:dyDescent="0.35">
      <c r="A1" s="8">
        <v>46023</v>
      </c>
      <c r="B1" s="11"/>
    </row>
    <row r="2" spans="1:2" x14ac:dyDescent="0.35">
      <c r="A2" s="8">
        <v>46024</v>
      </c>
      <c r="B2" s="11"/>
    </row>
    <row r="3" spans="1:2" x14ac:dyDescent="0.35">
      <c r="A3" s="8">
        <v>46025</v>
      </c>
      <c r="B3" s="11"/>
    </row>
    <row r="4" spans="1:2" x14ac:dyDescent="0.35">
      <c r="A4" s="8">
        <v>46026</v>
      </c>
      <c r="B4" s="11"/>
    </row>
    <row r="5" spans="1:2" x14ac:dyDescent="0.35">
      <c r="A5" s="8">
        <v>46027</v>
      </c>
      <c r="B5" s="11"/>
    </row>
    <row r="6" spans="1:2" x14ac:dyDescent="0.35">
      <c r="A6" s="8">
        <v>46028</v>
      </c>
      <c r="B6" s="11"/>
    </row>
    <row r="7" spans="1:2" x14ac:dyDescent="0.35">
      <c r="A7" s="8">
        <v>46029</v>
      </c>
      <c r="B7" s="11"/>
    </row>
    <row r="8" spans="1:2" x14ac:dyDescent="0.35">
      <c r="A8" s="8">
        <v>46030</v>
      </c>
    </row>
    <row r="9" spans="1:2" x14ac:dyDescent="0.35">
      <c r="A9" s="8">
        <v>46031</v>
      </c>
    </row>
    <row r="10" spans="1:2" x14ac:dyDescent="0.35">
      <c r="A10" s="8">
        <v>46032</v>
      </c>
    </row>
    <row r="11" spans="1:2" x14ac:dyDescent="0.35">
      <c r="A11" s="8">
        <v>46033</v>
      </c>
    </row>
    <row r="12" spans="1:2" x14ac:dyDescent="0.35">
      <c r="A12" s="8">
        <v>46034</v>
      </c>
    </row>
    <row r="13" spans="1:2" x14ac:dyDescent="0.35">
      <c r="A13" s="8">
        <v>46035</v>
      </c>
    </row>
    <row r="14" spans="1:2" x14ac:dyDescent="0.35">
      <c r="A14" s="8">
        <v>46036</v>
      </c>
    </row>
    <row r="15" spans="1:2" x14ac:dyDescent="0.35">
      <c r="A15" s="8">
        <v>46037</v>
      </c>
    </row>
    <row r="16" spans="1:2" x14ac:dyDescent="0.35">
      <c r="A16" s="8">
        <v>46038</v>
      </c>
    </row>
    <row r="17" spans="1:1" x14ac:dyDescent="0.35">
      <c r="A17" s="8">
        <v>46039</v>
      </c>
    </row>
    <row r="18" spans="1:1" x14ac:dyDescent="0.35">
      <c r="A18" s="8">
        <v>46040</v>
      </c>
    </row>
    <row r="19" spans="1:1" x14ac:dyDescent="0.35">
      <c r="A19" s="8">
        <v>46041</v>
      </c>
    </row>
    <row r="20" spans="1:1" x14ac:dyDescent="0.35">
      <c r="A20" s="8">
        <v>46042</v>
      </c>
    </row>
    <row r="21" spans="1:1" x14ac:dyDescent="0.35">
      <c r="A21" s="8">
        <v>46043</v>
      </c>
    </row>
    <row r="22" spans="1:1" x14ac:dyDescent="0.35">
      <c r="A22" s="8">
        <v>46044</v>
      </c>
    </row>
    <row r="23" spans="1:1" x14ac:dyDescent="0.35">
      <c r="A23" s="8">
        <v>46045</v>
      </c>
    </row>
    <row r="24" spans="1:1" x14ac:dyDescent="0.35">
      <c r="A24" s="8">
        <v>46046</v>
      </c>
    </row>
    <row r="25" spans="1:1" x14ac:dyDescent="0.35">
      <c r="A25" s="8">
        <v>46047</v>
      </c>
    </row>
    <row r="26" spans="1:1" x14ac:dyDescent="0.35">
      <c r="A26" s="8">
        <v>46048</v>
      </c>
    </row>
    <row r="27" spans="1:1" x14ac:dyDescent="0.35">
      <c r="A27" s="8">
        <v>46049</v>
      </c>
    </row>
    <row r="28" spans="1:1" x14ac:dyDescent="0.35">
      <c r="A28" s="8">
        <v>46050</v>
      </c>
    </row>
    <row r="29" spans="1:1" x14ac:dyDescent="0.35">
      <c r="A29" s="8">
        <v>46051</v>
      </c>
    </row>
    <row r="30" spans="1:1" x14ac:dyDescent="0.35">
      <c r="A30" s="8">
        <v>46052</v>
      </c>
    </row>
    <row r="31" spans="1:1" x14ac:dyDescent="0.35">
      <c r="A31" s="8">
        <v>46053</v>
      </c>
    </row>
    <row r="32" spans="1:1" x14ac:dyDescent="0.35">
      <c r="A32" s="8">
        <v>46054</v>
      </c>
    </row>
    <row r="33" spans="1:1" x14ac:dyDescent="0.35">
      <c r="A33" s="8">
        <v>46055</v>
      </c>
    </row>
    <row r="34" spans="1:1" x14ac:dyDescent="0.35">
      <c r="A34" s="8">
        <v>46056</v>
      </c>
    </row>
    <row r="35" spans="1:1" x14ac:dyDescent="0.35">
      <c r="A35" s="8">
        <v>46057</v>
      </c>
    </row>
    <row r="36" spans="1:1" x14ac:dyDescent="0.35">
      <c r="A36" s="8">
        <v>46058</v>
      </c>
    </row>
    <row r="37" spans="1:1" x14ac:dyDescent="0.35">
      <c r="A37" s="8">
        <v>46059</v>
      </c>
    </row>
    <row r="38" spans="1:1" x14ac:dyDescent="0.35">
      <c r="A38" s="8">
        <v>46060</v>
      </c>
    </row>
    <row r="39" spans="1:1" x14ac:dyDescent="0.35">
      <c r="A39" s="8">
        <v>46061</v>
      </c>
    </row>
    <row r="40" spans="1:1" x14ac:dyDescent="0.35">
      <c r="A40" s="8">
        <v>46062</v>
      </c>
    </row>
    <row r="41" spans="1:1" x14ac:dyDescent="0.35">
      <c r="A41" s="8">
        <v>46063</v>
      </c>
    </row>
    <row r="42" spans="1:1" x14ac:dyDescent="0.35">
      <c r="A42" s="8">
        <v>46064</v>
      </c>
    </row>
    <row r="43" spans="1:1" x14ac:dyDescent="0.35">
      <c r="A43" s="8">
        <v>46065</v>
      </c>
    </row>
    <row r="44" spans="1:1" x14ac:dyDescent="0.35">
      <c r="A44" s="8">
        <v>46066</v>
      </c>
    </row>
    <row r="45" spans="1:1" x14ac:dyDescent="0.35">
      <c r="A45" s="8">
        <v>46067</v>
      </c>
    </row>
    <row r="46" spans="1:1" x14ac:dyDescent="0.35">
      <c r="A46" s="8">
        <v>46068</v>
      </c>
    </row>
    <row r="47" spans="1:1" x14ac:dyDescent="0.35">
      <c r="A47" s="8">
        <v>46069</v>
      </c>
    </row>
    <row r="48" spans="1:1" x14ac:dyDescent="0.35">
      <c r="A48" s="8">
        <v>46070</v>
      </c>
    </row>
    <row r="49" spans="1:1" x14ac:dyDescent="0.35">
      <c r="A49" s="8">
        <v>46071</v>
      </c>
    </row>
    <row r="50" spans="1:1" x14ac:dyDescent="0.35">
      <c r="A50" s="8">
        <v>46072</v>
      </c>
    </row>
    <row r="51" spans="1:1" x14ac:dyDescent="0.35">
      <c r="A51" s="8">
        <v>46073</v>
      </c>
    </row>
    <row r="52" spans="1:1" x14ac:dyDescent="0.35">
      <c r="A52" s="8">
        <v>46074</v>
      </c>
    </row>
    <row r="53" spans="1:1" x14ac:dyDescent="0.35">
      <c r="A53" s="8">
        <v>46075</v>
      </c>
    </row>
    <row r="54" spans="1:1" x14ac:dyDescent="0.35">
      <c r="A54" s="8">
        <v>46076</v>
      </c>
    </row>
    <row r="55" spans="1:1" x14ac:dyDescent="0.35">
      <c r="A55" s="8">
        <v>46077</v>
      </c>
    </row>
    <row r="56" spans="1:1" x14ac:dyDescent="0.35">
      <c r="A56" s="8">
        <v>46078</v>
      </c>
    </row>
    <row r="57" spans="1:1" x14ac:dyDescent="0.35">
      <c r="A57" s="8">
        <v>46079</v>
      </c>
    </row>
    <row r="58" spans="1:1" x14ac:dyDescent="0.35">
      <c r="A58" s="8">
        <v>46080</v>
      </c>
    </row>
    <row r="59" spans="1:1" x14ac:dyDescent="0.35">
      <c r="A59" s="8">
        <v>46081</v>
      </c>
    </row>
    <row r="60" spans="1:1" x14ac:dyDescent="0.35">
      <c r="A60" s="8">
        <v>46082</v>
      </c>
    </row>
    <row r="61" spans="1:1" x14ac:dyDescent="0.35">
      <c r="A61" s="8">
        <v>46083</v>
      </c>
    </row>
    <row r="62" spans="1:1" x14ac:dyDescent="0.35">
      <c r="A62" s="8">
        <v>46084</v>
      </c>
    </row>
    <row r="63" spans="1:1" x14ac:dyDescent="0.35">
      <c r="A63" s="8">
        <v>46085</v>
      </c>
    </row>
    <row r="64" spans="1:1" x14ac:dyDescent="0.35">
      <c r="A64" s="8">
        <v>46086</v>
      </c>
    </row>
    <row r="65" spans="1:1" x14ac:dyDescent="0.35">
      <c r="A65" s="8">
        <v>46087</v>
      </c>
    </row>
    <row r="66" spans="1:1" x14ac:dyDescent="0.35">
      <c r="A66" s="8">
        <v>46088</v>
      </c>
    </row>
    <row r="67" spans="1:1" x14ac:dyDescent="0.35">
      <c r="A67" s="8">
        <v>46089</v>
      </c>
    </row>
    <row r="68" spans="1:1" x14ac:dyDescent="0.35">
      <c r="A68" s="8">
        <v>46090</v>
      </c>
    </row>
    <row r="69" spans="1:1" x14ac:dyDescent="0.35">
      <c r="A69" s="8">
        <v>46091</v>
      </c>
    </row>
    <row r="70" spans="1:1" x14ac:dyDescent="0.35">
      <c r="A70" s="8">
        <v>46092</v>
      </c>
    </row>
    <row r="71" spans="1:1" x14ac:dyDescent="0.35">
      <c r="A71" s="8">
        <v>46093</v>
      </c>
    </row>
    <row r="72" spans="1:1" x14ac:dyDescent="0.35">
      <c r="A72" s="8">
        <v>46094</v>
      </c>
    </row>
    <row r="73" spans="1:1" x14ac:dyDescent="0.35">
      <c r="A73" s="8">
        <v>46095</v>
      </c>
    </row>
    <row r="74" spans="1:1" x14ac:dyDescent="0.35">
      <c r="A74" s="8">
        <v>46096</v>
      </c>
    </row>
    <row r="75" spans="1:1" x14ac:dyDescent="0.35">
      <c r="A75" s="8">
        <v>46097</v>
      </c>
    </row>
    <row r="76" spans="1:1" x14ac:dyDescent="0.35">
      <c r="A76" s="8">
        <v>46098</v>
      </c>
    </row>
    <row r="77" spans="1:1" x14ac:dyDescent="0.35">
      <c r="A77" s="8">
        <v>46099</v>
      </c>
    </row>
    <row r="78" spans="1:1" x14ac:dyDescent="0.35">
      <c r="A78" s="8">
        <v>46100</v>
      </c>
    </row>
    <row r="79" spans="1:1" x14ac:dyDescent="0.35">
      <c r="A79" s="8">
        <v>46101</v>
      </c>
    </row>
    <row r="80" spans="1:1" x14ac:dyDescent="0.35">
      <c r="A80" s="8">
        <v>46102</v>
      </c>
    </row>
    <row r="81" spans="1:1" x14ac:dyDescent="0.35">
      <c r="A81" s="8">
        <v>46103</v>
      </c>
    </row>
    <row r="82" spans="1:1" x14ac:dyDescent="0.35">
      <c r="A82" s="8">
        <v>46104</v>
      </c>
    </row>
    <row r="83" spans="1:1" x14ac:dyDescent="0.35">
      <c r="A83" s="8">
        <v>46105</v>
      </c>
    </row>
    <row r="84" spans="1:1" x14ac:dyDescent="0.35">
      <c r="A84" s="8">
        <v>46106</v>
      </c>
    </row>
    <row r="85" spans="1:1" x14ac:dyDescent="0.35">
      <c r="A85" s="8">
        <v>46107</v>
      </c>
    </row>
    <row r="86" spans="1:1" x14ac:dyDescent="0.35">
      <c r="A86" s="8">
        <v>46108</v>
      </c>
    </row>
    <row r="87" spans="1:1" x14ac:dyDescent="0.35">
      <c r="A87" s="8">
        <v>46109</v>
      </c>
    </row>
    <row r="88" spans="1:1" x14ac:dyDescent="0.35">
      <c r="A88" s="8">
        <v>46110</v>
      </c>
    </row>
    <row r="89" spans="1:1" x14ac:dyDescent="0.35">
      <c r="A89" s="8">
        <v>46111</v>
      </c>
    </row>
    <row r="90" spans="1:1" x14ac:dyDescent="0.35">
      <c r="A90" s="8">
        <v>46112</v>
      </c>
    </row>
    <row r="91" spans="1:1" x14ac:dyDescent="0.35">
      <c r="A91" s="8">
        <v>46113</v>
      </c>
    </row>
    <row r="92" spans="1:1" x14ac:dyDescent="0.35">
      <c r="A92" s="8">
        <v>46114</v>
      </c>
    </row>
    <row r="93" spans="1:1" x14ac:dyDescent="0.35">
      <c r="A93" s="8">
        <v>46115</v>
      </c>
    </row>
    <row r="94" spans="1:1" x14ac:dyDescent="0.35">
      <c r="A94" s="8">
        <v>46116</v>
      </c>
    </row>
    <row r="95" spans="1:1" x14ac:dyDescent="0.35">
      <c r="A95" s="8">
        <v>46117</v>
      </c>
    </row>
    <row r="96" spans="1:1" x14ac:dyDescent="0.35">
      <c r="A96" s="8">
        <v>46118</v>
      </c>
    </row>
    <row r="97" spans="1:1" x14ac:dyDescent="0.35">
      <c r="A97" s="8">
        <v>46119</v>
      </c>
    </row>
    <row r="98" spans="1:1" x14ac:dyDescent="0.35">
      <c r="A98" s="8">
        <v>46120</v>
      </c>
    </row>
    <row r="99" spans="1:1" x14ac:dyDescent="0.35">
      <c r="A99" s="8">
        <v>46121</v>
      </c>
    </row>
    <row r="100" spans="1:1" x14ac:dyDescent="0.35">
      <c r="A100" s="8">
        <v>46122</v>
      </c>
    </row>
    <row r="101" spans="1:1" x14ac:dyDescent="0.35">
      <c r="A101" s="8">
        <v>46123</v>
      </c>
    </row>
    <row r="102" spans="1:1" x14ac:dyDescent="0.35">
      <c r="A102" s="8">
        <v>46124</v>
      </c>
    </row>
    <row r="103" spans="1:1" x14ac:dyDescent="0.35">
      <c r="A103" s="8">
        <v>46125</v>
      </c>
    </row>
    <row r="104" spans="1:1" x14ac:dyDescent="0.35">
      <c r="A104" s="8">
        <v>46126</v>
      </c>
    </row>
    <row r="105" spans="1:1" x14ac:dyDescent="0.35">
      <c r="A105" s="8">
        <v>46127</v>
      </c>
    </row>
    <row r="106" spans="1:1" x14ac:dyDescent="0.35">
      <c r="A106" s="8">
        <v>46128</v>
      </c>
    </row>
    <row r="107" spans="1:1" x14ac:dyDescent="0.35">
      <c r="A107" s="8">
        <v>46129</v>
      </c>
    </row>
    <row r="108" spans="1:1" x14ac:dyDescent="0.35">
      <c r="A108" s="8">
        <v>46130</v>
      </c>
    </row>
    <row r="109" spans="1:1" x14ac:dyDescent="0.35">
      <c r="A109" s="8">
        <v>46131</v>
      </c>
    </row>
    <row r="110" spans="1:1" x14ac:dyDescent="0.35">
      <c r="A110" s="8">
        <v>46132</v>
      </c>
    </row>
    <row r="111" spans="1:1" x14ac:dyDescent="0.35">
      <c r="A111" s="8">
        <v>46133</v>
      </c>
    </row>
    <row r="112" spans="1:1" x14ac:dyDescent="0.35">
      <c r="A112" s="8">
        <v>46134</v>
      </c>
    </row>
    <row r="113" spans="1:1" x14ac:dyDescent="0.35">
      <c r="A113" s="8">
        <v>46135</v>
      </c>
    </row>
    <row r="114" spans="1:1" x14ac:dyDescent="0.35">
      <c r="A114" s="8">
        <v>46136</v>
      </c>
    </row>
    <row r="115" spans="1:1" x14ac:dyDescent="0.35">
      <c r="A115" s="8">
        <v>46137</v>
      </c>
    </row>
    <row r="116" spans="1:1" x14ac:dyDescent="0.35">
      <c r="A116" s="8">
        <v>46138</v>
      </c>
    </row>
    <row r="117" spans="1:1" x14ac:dyDescent="0.35">
      <c r="A117" s="8">
        <v>46139</v>
      </c>
    </row>
    <row r="118" spans="1:1" x14ac:dyDescent="0.35">
      <c r="A118" s="8">
        <v>46140</v>
      </c>
    </row>
    <row r="119" spans="1:1" x14ac:dyDescent="0.35">
      <c r="A119" s="8">
        <v>46141</v>
      </c>
    </row>
    <row r="120" spans="1:1" x14ac:dyDescent="0.35">
      <c r="A120" s="8">
        <v>46142</v>
      </c>
    </row>
    <row r="121" spans="1:1" x14ac:dyDescent="0.35">
      <c r="A121" s="8">
        <v>46143</v>
      </c>
    </row>
    <row r="122" spans="1:1" x14ac:dyDescent="0.35">
      <c r="A122" s="8">
        <v>46144</v>
      </c>
    </row>
    <row r="123" spans="1:1" x14ac:dyDescent="0.35">
      <c r="A123" s="8">
        <v>46145</v>
      </c>
    </row>
    <row r="124" spans="1:1" x14ac:dyDescent="0.35">
      <c r="A124" s="8">
        <v>46146</v>
      </c>
    </row>
    <row r="125" spans="1:1" x14ac:dyDescent="0.35">
      <c r="A125" s="8">
        <v>46147</v>
      </c>
    </row>
    <row r="126" spans="1:1" x14ac:dyDescent="0.35">
      <c r="A126" s="8">
        <v>46148</v>
      </c>
    </row>
    <row r="127" spans="1:1" x14ac:dyDescent="0.35">
      <c r="A127" s="8">
        <v>46149</v>
      </c>
    </row>
    <row r="128" spans="1:1" x14ac:dyDescent="0.35">
      <c r="A128" s="8">
        <v>46150</v>
      </c>
    </row>
    <row r="129" spans="1:1" x14ac:dyDescent="0.35">
      <c r="A129" s="8">
        <v>46151</v>
      </c>
    </row>
    <row r="130" spans="1:1" x14ac:dyDescent="0.35">
      <c r="A130" s="8">
        <v>46152</v>
      </c>
    </row>
    <row r="131" spans="1:1" x14ac:dyDescent="0.35">
      <c r="A131" s="8">
        <v>46153</v>
      </c>
    </row>
    <row r="132" spans="1:1" x14ac:dyDescent="0.35">
      <c r="A132" s="8">
        <v>46154</v>
      </c>
    </row>
    <row r="133" spans="1:1" x14ac:dyDescent="0.35">
      <c r="A133" s="8">
        <v>46155</v>
      </c>
    </row>
    <row r="134" spans="1:1" x14ac:dyDescent="0.35">
      <c r="A134" s="8">
        <v>46156</v>
      </c>
    </row>
    <row r="135" spans="1:1" x14ac:dyDescent="0.35">
      <c r="A135" s="8">
        <v>46157</v>
      </c>
    </row>
    <row r="136" spans="1:1" x14ac:dyDescent="0.35">
      <c r="A136" s="8">
        <v>46158</v>
      </c>
    </row>
    <row r="137" spans="1:1" x14ac:dyDescent="0.35">
      <c r="A137" s="8">
        <v>46159</v>
      </c>
    </row>
    <row r="138" spans="1:1" x14ac:dyDescent="0.35">
      <c r="A138" s="8">
        <v>46160</v>
      </c>
    </row>
    <row r="139" spans="1:1" x14ac:dyDescent="0.35">
      <c r="A139" s="8">
        <v>46161</v>
      </c>
    </row>
    <row r="140" spans="1:1" x14ac:dyDescent="0.35">
      <c r="A140" s="8">
        <v>46162</v>
      </c>
    </row>
    <row r="141" spans="1:1" x14ac:dyDescent="0.35">
      <c r="A141" s="8">
        <v>46163</v>
      </c>
    </row>
    <row r="142" spans="1:1" x14ac:dyDescent="0.35">
      <c r="A142" s="8">
        <v>46164</v>
      </c>
    </row>
    <row r="143" spans="1:1" x14ac:dyDescent="0.35">
      <c r="A143" s="8">
        <v>46165</v>
      </c>
    </row>
    <row r="144" spans="1:1" x14ac:dyDescent="0.35">
      <c r="A144" s="8">
        <v>46166</v>
      </c>
    </row>
    <row r="145" spans="1:1" x14ac:dyDescent="0.35">
      <c r="A145" s="8">
        <v>46167</v>
      </c>
    </row>
    <row r="146" spans="1:1" x14ac:dyDescent="0.35">
      <c r="A146" s="8">
        <v>46168</v>
      </c>
    </row>
    <row r="147" spans="1:1" x14ac:dyDescent="0.35">
      <c r="A147" s="8">
        <v>46169</v>
      </c>
    </row>
    <row r="148" spans="1:1" x14ac:dyDescent="0.35">
      <c r="A148" s="8">
        <v>46170</v>
      </c>
    </row>
    <row r="149" spans="1:1" x14ac:dyDescent="0.35">
      <c r="A149" s="8">
        <v>46171</v>
      </c>
    </row>
    <row r="150" spans="1:1" x14ac:dyDescent="0.35">
      <c r="A150" s="8">
        <v>46172</v>
      </c>
    </row>
    <row r="151" spans="1:1" x14ac:dyDescent="0.35">
      <c r="A151" s="8">
        <v>46173</v>
      </c>
    </row>
    <row r="152" spans="1:1" x14ac:dyDescent="0.35">
      <c r="A152" s="8">
        <v>46174</v>
      </c>
    </row>
    <row r="153" spans="1:1" x14ac:dyDescent="0.35">
      <c r="A153" s="8">
        <v>46175</v>
      </c>
    </row>
    <row r="154" spans="1:1" x14ac:dyDescent="0.35">
      <c r="A154" s="8">
        <v>46176</v>
      </c>
    </row>
    <row r="155" spans="1:1" x14ac:dyDescent="0.35">
      <c r="A155" s="8">
        <v>46177</v>
      </c>
    </row>
    <row r="156" spans="1:1" x14ac:dyDescent="0.35">
      <c r="A156" s="8">
        <v>46178</v>
      </c>
    </row>
    <row r="157" spans="1:1" x14ac:dyDescent="0.35">
      <c r="A157" s="8">
        <v>46179</v>
      </c>
    </row>
    <row r="158" spans="1:1" x14ac:dyDescent="0.35">
      <c r="A158" s="8">
        <v>46180</v>
      </c>
    </row>
    <row r="159" spans="1:1" x14ac:dyDescent="0.35">
      <c r="A159" s="8">
        <v>46181</v>
      </c>
    </row>
    <row r="160" spans="1:1" x14ac:dyDescent="0.35">
      <c r="A160" s="8">
        <v>46182</v>
      </c>
    </row>
    <row r="161" spans="1:1" x14ac:dyDescent="0.35">
      <c r="A161" s="8">
        <v>46183</v>
      </c>
    </row>
    <row r="162" spans="1:1" x14ac:dyDescent="0.35">
      <c r="A162" s="8">
        <v>46184</v>
      </c>
    </row>
    <row r="163" spans="1:1" x14ac:dyDescent="0.35">
      <c r="A163" s="8">
        <v>46185</v>
      </c>
    </row>
    <row r="164" spans="1:1" x14ac:dyDescent="0.35">
      <c r="A164" s="8">
        <v>46186</v>
      </c>
    </row>
    <row r="165" spans="1:1" x14ac:dyDescent="0.35">
      <c r="A165" s="8">
        <v>46187</v>
      </c>
    </row>
    <row r="166" spans="1:1" x14ac:dyDescent="0.35">
      <c r="A166" s="8">
        <v>46188</v>
      </c>
    </row>
    <row r="167" spans="1:1" x14ac:dyDescent="0.35">
      <c r="A167" s="8">
        <v>46189</v>
      </c>
    </row>
    <row r="168" spans="1:1" x14ac:dyDescent="0.35">
      <c r="A168" s="8">
        <v>46190</v>
      </c>
    </row>
    <row r="169" spans="1:1" x14ac:dyDescent="0.35">
      <c r="A169" s="8">
        <v>46191</v>
      </c>
    </row>
    <row r="170" spans="1:1" x14ac:dyDescent="0.35">
      <c r="A170" s="8">
        <v>46192</v>
      </c>
    </row>
    <row r="171" spans="1:1" x14ac:dyDescent="0.35">
      <c r="A171" s="8">
        <v>46193</v>
      </c>
    </row>
    <row r="172" spans="1:1" x14ac:dyDescent="0.35">
      <c r="A172" s="8">
        <v>46194</v>
      </c>
    </row>
    <row r="173" spans="1:1" x14ac:dyDescent="0.35">
      <c r="A173" s="8">
        <v>46195</v>
      </c>
    </row>
    <row r="174" spans="1:1" x14ac:dyDescent="0.35">
      <c r="A174" s="8">
        <v>46196</v>
      </c>
    </row>
    <row r="175" spans="1:1" x14ac:dyDescent="0.35">
      <c r="A175" s="8">
        <v>46197</v>
      </c>
    </row>
    <row r="176" spans="1:1" x14ac:dyDescent="0.35">
      <c r="A176" s="8">
        <v>46198</v>
      </c>
    </row>
    <row r="177" spans="1:1" x14ac:dyDescent="0.35">
      <c r="A177" s="8">
        <v>46199</v>
      </c>
    </row>
    <row r="178" spans="1:1" x14ac:dyDescent="0.35">
      <c r="A178" s="8">
        <v>46200</v>
      </c>
    </row>
    <row r="179" spans="1:1" x14ac:dyDescent="0.35">
      <c r="A179" s="8">
        <v>46201</v>
      </c>
    </row>
    <row r="180" spans="1:1" x14ac:dyDescent="0.35">
      <c r="A180" s="8">
        <v>46202</v>
      </c>
    </row>
    <row r="181" spans="1:1" x14ac:dyDescent="0.35">
      <c r="A181" s="8">
        <v>46203</v>
      </c>
    </row>
    <row r="182" spans="1:1" x14ac:dyDescent="0.35">
      <c r="A182" s="8">
        <v>46204</v>
      </c>
    </row>
    <row r="183" spans="1:1" x14ac:dyDescent="0.35">
      <c r="A183" s="8">
        <v>46205</v>
      </c>
    </row>
    <row r="184" spans="1:1" x14ac:dyDescent="0.35">
      <c r="A184" s="8">
        <v>46206</v>
      </c>
    </row>
    <row r="185" spans="1:1" x14ac:dyDescent="0.35">
      <c r="A185" s="8">
        <v>46207</v>
      </c>
    </row>
    <row r="186" spans="1:1" x14ac:dyDescent="0.35">
      <c r="A186" s="8">
        <v>46208</v>
      </c>
    </row>
    <row r="187" spans="1:1" x14ac:dyDescent="0.35">
      <c r="A187" s="8">
        <v>46209</v>
      </c>
    </row>
    <row r="188" spans="1:1" x14ac:dyDescent="0.35">
      <c r="A188" s="8">
        <v>46210</v>
      </c>
    </row>
    <row r="189" spans="1:1" x14ac:dyDescent="0.35">
      <c r="A189" s="8">
        <v>46211</v>
      </c>
    </row>
    <row r="190" spans="1:1" x14ac:dyDescent="0.35">
      <c r="A190" s="8">
        <v>46212</v>
      </c>
    </row>
    <row r="191" spans="1:1" x14ac:dyDescent="0.35">
      <c r="A191" s="8">
        <v>46213</v>
      </c>
    </row>
    <row r="192" spans="1:1" x14ac:dyDescent="0.35">
      <c r="A192" s="8">
        <v>46214</v>
      </c>
    </row>
    <row r="193" spans="1:1" x14ac:dyDescent="0.35">
      <c r="A193" s="8">
        <v>46215</v>
      </c>
    </row>
    <row r="194" spans="1:1" x14ac:dyDescent="0.35">
      <c r="A194" s="8">
        <v>46216</v>
      </c>
    </row>
    <row r="195" spans="1:1" x14ac:dyDescent="0.35">
      <c r="A195" s="8">
        <v>46217</v>
      </c>
    </row>
    <row r="196" spans="1:1" x14ac:dyDescent="0.35">
      <c r="A196" s="8">
        <v>46218</v>
      </c>
    </row>
    <row r="197" spans="1:1" x14ac:dyDescent="0.35">
      <c r="A197" s="8">
        <v>46219</v>
      </c>
    </row>
    <row r="198" spans="1:1" x14ac:dyDescent="0.35">
      <c r="A198" s="8">
        <v>46220</v>
      </c>
    </row>
    <row r="199" spans="1:1" x14ac:dyDescent="0.35">
      <c r="A199" s="8">
        <v>46221</v>
      </c>
    </row>
    <row r="200" spans="1:1" x14ac:dyDescent="0.35">
      <c r="A200" s="8">
        <v>46222</v>
      </c>
    </row>
    <row r="201" spans="1:1" x14ac:dyDescent="0.35">
      <c r="A201" s="8">
        <v>46223</v>
      </c>
    </row>
    <row r="202" spans="1:1" x14ac:dyDescent="0.35">
      <c r="A202" s="8">
        <v>46224</v>
      </c>
    </row>
    <row r="203" spans="1:1" x14ac:dyDescent="0.35">
      <c r="A203" s="8">
        <v>46225</v>
      </c>
    </row>
    <row r="204" spans="1:1" x14ac:dyDescent="0.35">
      <c r="A204" s="8">
        <v>46226</v>
      </c>
    </row>
    <row r="205" spans="1:1" x14ac:dyDescent="0.35">
      <c r="A205" s="8">
        <v>46227</v>
      </c>
    </row>
    <row r="206" spans="1:1" x14ac:dyDescent="0.35">
      <c r="A206" s="8">
        <v>46228</v>
      </c>
    </row>
    <row r="207" spans="1:1" x14ac:dyDescent="0.35">
      <c r="A207" s="8">
        <v>46229</v>
      </c>
    </row>
    <row r="208" spans="1:1" x14ac:dyDescent="0.35">
      <c r="A208" s="8">
        <v>46230</v>
      </c>
    </row>
    <row r="209" spans="1:1" x14ac:dyDescent="0.35">
      <c r="A209" s="8">
        <v>46231</v>
      </c>
    </row>
    <row r="210" spans="1:1" x14ac:dyDescent="0.35">
      <c r="A210" s="8">
        <v>46232</v>
      </c>
    </row>
    <row r="211" spans="1:1" x14ac:dyDescent="0.35">
      <c r="A211" s="8">
        <v>46233</v>
      </c>
    </row>
    <row r="212" spans="1:1" x14ac:dyDescent="0.35">
      <c r="A212" s="8">
        <v>46234</v>
      </c>
    </row>
    <row r="213" spans="1:1" x14ac:dyDescent="0.35">
      <c r="A213" s="8">
        <v>46235</v>
      </c>
    </row>
    <row r="214" spans="1:1" x14ac:dyDescent="0.35">
      <c r="A214" s="8">
        <v>46236</v>
      </c>
    </row>
    <row r="215" spans="1:1" x14ac:dyDescent="0.35">
      <c r="A215" s="8">
        <v>46237</v>
      </c>
    </row>
    <row r="216" spans="1:1" x14ac:dyDescent="0.35">
      <c r="A216" s="8">
        <v>46238</v>
      </c>
    </row>
    <row r="217" spans="1:1" x14ac:dyDescent="0.35">
      <c r="A217" s="8">
        <v>46239</v>
      </c>
    </row>
    <row r="218" spans="1:1" x14ac:dyDescent="0.35">
      <c r="A218" s="8">
        <v>46240</v>
      </c>
    </row>
    <row r="219" spans="1:1" x14ac:dyDescent="0.35">
      <c r="A219" s="8">
        <v>46241</v>
      </c>
    </row>
    <row r="220" spans="1:1" x14ac:dyDescent="0.35">
      <c r="A220" s="8">
        <v>46242</v>
      </c>
    </row>
    <row r="221" spans="1:1" x14ac:dyDescent="0.35">
      <c r="A221" s="8">
        <v>46243</v>
      </c>
    </row>
    <row r="222" spans="1:1" x14ac:dyDescent="0.35">
      <c r="A222" s="8">
        <v>46244</v>
      </c>
    </row>
    <row r="223" spans="1:1" x14ac:dyDescent="0.35">
      <c r="A223" s="8">
        <v>46245</v>
      </c>
    </row>
    <row r="224" spans="1:1" x14ac:dyDescent="0.35">
      <c r="A224" s="8">
        <v>46246</v>
      </c>
    </row>
    <row r="225" spans="1:1" x14ac:dyDescent="0.35">
      <c r="A225" s="8">
        <v>46247</v>
      </c>
    </row>
    <row r="226" spans="1:1" x14ac:dyDescent="0.35">
      <c r="A226" s="8">
        <v>46248</v>
      </c>
    </row>
    <row r="227" spans="1:1" x14ac:dyDescent="0.35">
      <c r="A227" s="8">
        <v>46249</v>
      </c>
    </row>
    <row r="228" spans="1:1" x14ac:dyDescent="0.35">
      <c r="A228" s="8">
        <v>46250</v>
      </c>
    </row>
    <row r="229" spans="1:1" x14ac:dyDescent="0.35">
      <c r="A229" s="8">
        <v>46251</v>
      </c>
    </row>
    <row r="230" spans="1:1" x14ac:dyDescent="0.35">
      <c r="A230" s="8">
        <v>46252</v>
      </c>
    </row>
    <row r="231" spans="1:1" x14ac:dyDescent="0.35">
      <c r="A231" s="8">
        <v>46253</v>
      </c>
    </row>
    <row r="232" spans="1:1" x14ac:dyDescent="0.35">
      <c r="A232" s="8">
        <v>46254</v>
      </c>
    </row>
    <row r="233" spans="1:1" x14ac:dyDescent="0.35">
      <c r="A233" s="8">
        <v>46255</v>
      </c>
    </row>
    <row r="234" spans="1:1" x14ac:dyDescent="0.35">
      <c r="A234" s="8">
        <v>46256</v>
      </c>
    </row>
    <row r="235" spans="1:1" x14ac:dyDescent="0.35">
      <c r="A235" s="8">
        <v>46257</v>
      </c>
    </row>
    <row r="236" spans="1:1" x14ac:dyDescent="0.35">
      <c r="A236" s="8">
        <v>46258</v>
      </c>
    </row>
    <row r="237" spans="1:1" x14ac:dyDescent="0.35">
      <c r="A237" s="8">
        <v>46259</v>
      </c>
    </row>
    <row r="238" spans="1:1" x14ac:dyDescent="0.35">
      <c r="A238" s="8">
        <v>46260</v>
      </c>
    </row>
    <row r="239" spans="1:1" x14ac:dyDescent="0.35">
      <c r="A239" s="8">
        <v>46261</v>
      </c>
    </row>
    <row r="240" spans="1:1" x14ac:dyDescent="0.35">
      <c r="A240" s="8">
        <v>46262</v>
      </c>
    </row>
    <row r="241" spans="1:1" x14ac:dyDescent="0.35">
      <c r="A241" s="8">
        <v>46263</v>
      </c>
    </row>
    <row r="242" spans="1:1" x14ac:dyDescent="0.35">
      <c r="A242" s="8">
        <v>46264</v>
      </c>
    </row>
    <row r="243" spans="1:1" x14ac:dyDescent="0.35">
      <c r="A243" s="8">
        <v>46265</v>
      </c>
    </row>
    <row r="244" spans="1:1" x14ac:dyDescent="0.35">
      <c r="A244" s="8">
        <v>46266</v>
      </c>
    </row>
    <row r="245" spans="1:1" x14ac:dyDescent="0.35">
      <c r="A245" s="8">
        <v>46267</v>
      </c>
    </row>
    <row r="246" spans="1:1" x14ac:dyDescent="0.35">
      <c r="A246" s="8">
        <v>46268</v>
      </c>
    </row>
    <row r="247" spans="1:1" x14ac:dyDescent="0.35">
      <c r="A247" s="8">
        <v>46269</v>
      </c>
    </row>
    <row r="248" spans="1:1" x14ac:dyDescent="0.35">
      <c r="A248" s="8">
        <v>46270</v>
      </c>
    </row>
    <row r="249" spans="1:1" x14ac:dyDescent="0.35">
      <c r="A249" s="8">
        <v>46271</v>
      </c>
    </row>
    <row r="250" spans="1:1" x14ac:dyDescent="0.35">
      <c r="A250" s="8">
        <v>46272</v>
      </c>
    </row>
    <row r="251" spans="1:1" x14ac:dyDescent="0.35">
      <c r="A251" s="8">
        <v>46273</v>
      </c>
    </row>
    <row r="252" spans="1:1" x14ac:dyDescent="0.35">
      <c r="A252" s="8">
        <v>46274</v>
      </c>
    </row>
    <row r="253" spans="1:1" x14ac:dyDescent="0.35">
      <c r="A253" s="8">
        <v>46275</v>
      </c>
    </row>
    <row r="254" spans="1:1" x14ac:dyDescent="0.35">
      <c r="A254" s="8">
        <v>46276</v>
      </c>
    </row>
    <row r="255" spans="1:1" x14ac:dyDescent="0.35">
      <c r="A255" s="8">
        <v>46277</v>
      </c>
    </row>
    <row r="256" spans="1:1" x14ac:dyDescent="0.35">
      <c r="A256" s="8">
        <v>46278</v>
      </c>
    </row>
    <row r="257" spans="1:1" x14ac:dyDescent="0.35">
      <c r="A257" s="8">
        <v>46279</v>
      </c>
    </row>
    <row r="258" spans="1:1" x14ac:dyDescent="0.35">
      <c r="A258" s="8">
        <v>46280</v>
      </c>
    </row>
    <row r="259" spans="1:1" x14ac:dyDescent="0.35">
      <c r="A259" s="8">
        <v>46281</v>
      </c>
    </row>
    <row r="260" spans="1:1" x14ac:dyDescent="0.35">
      <c r="A260" s="8">
        <v>46282</v>
      </c>
    </row>
    <row r="261" spans="1:1" x14ac:dyDescent="0.35">
      <c r="A261" s="8">
        <v>46283</v>
      </c>
    </row>
    <row r="262" spans="1:1" x14ac:dyDescent="0.35">
      <c r="A262" s="8">
        <v>46284</v>
      </c>
    </row>
    <row r="263" spans="1:1" x14ac:dyDescent="0.35">
      <c r="A263" s="8">
        <v>46285</v>
      </c>
    </row>
    <row r="264" spans="1:1" x14ac:dyDescent="0.35">
      <c r="A264" s="8">
        <v>46286</v>
      </c>
    </row>
    <row r="265" spans="1:1" x14ac:dyDescent="0.35">
      <c r="A265" s="8">
        <v>46287</v>
      </c>
    </row>
    <row r="266" spans="1:1" x14ac:dyDescent="0.35">
      <c r="A266" s="8">
        <v>46288</v>
      </c>
    </row>
    <row r="267" spans="1:1" x14ac:dyDescent="0.35">
      <c r="A267" s="8">
        <v>46289</v>
      </c>
    </row>
    <row r="268" spans="1:1" x14ac:dyDescent="0.35">
      <c r="A268" s="8">
        <v>46290</v>
      </c>
    </row>
    <row r="269" spans="1:1" x14ac:dyDescent="0.35">
      <c r="A269" s="8">
        <v>46291</v>
      </c>
    </row>
    <row r="270" spans="1:1" x14ac:dyDescent="0.35">
      <c r="A270" s="8">
        <v>46292</v>
      </c>
    </row>
    <row r="271" spans="1:1" x14ac:dyDescent="0.35">
      <c r="A271" s="8">
        <v>46293</v>
      </c>
    </row>
    <row r="272" spans="1:1" x14ac:dyDescent="0.35">
      <c r="A272" s="8">
        <v>46294</v>
      </c>
    </row>
    <row r="273" spans="1:1" x14ac:dyDescent="0.35">
      <c r="A273" s="8">
        <v>46295</v>
      </c>
    </row>
    <row r="274" spans="1:1" x14ac:dyDescent="0.35">
      <c r="A274" s="8">
        <v>46296</v>
      </c>
    </row>
    <row r="275" spans="1:1" x14ac:dyDescent="0.35">
      <c r="A275" s="8">
        <v>46297</v>
      </c>
    </row>
    <row r="276" spans="1:1" x14ac:dyDescent="0.35">
      <c r="A276" s="8">
        <v>46298</v>
      </c>
    </row>
    <row r="277" spans="1:1" x14ac:dyDescent="0.35">
      <c r="A277" s="8">
        <v>46299</v>
      </c>
    </row>
    <row r="278" spans="1:1" x14ac:dyDescent="0.35">
      <c r="A278" s="8">
        <v>46300</v>
      </c>
    </row>
    <row r="279" spans="1:1" x14ac:dyDescent="0.35">
      <c r="A279" s="8">
        <v>46301</v>
      </c>
    </row>
    <row r="280" spans="1:1" x14ac:dyDescent="0.35">
      <c r="A280" s="8">
        <v>46302</v>
      </c>
    </row>
    <row r="281" spans="1:1" x14ac:dyDescent="0.35">
      <c r="A281" s="8">
        <v>46303</v>
      </c>
    </row>
    <row r="282" spans="1:1" x14ac:dyDescent="0.35">
      <c r="A282" s="8">
        <v>46304</v>
      </c>
    </row>
    <row r="283" spans="1:1" x14ac:dyDescent="0.35">
      <c r="A283" s="8">
        <v>46305</v>
      </c>
    </row>
    <row r="284" spans="1:1" x14ac:dyDescent="0.35">
      <c r="A284" s="8">
        <v>46306</v>
      </c>
    </row>
    <row r="285" spans="1:1" x14ac:dyDescent="0.35">
      <c r="A285" s="8">
        <v>46307</v>
      </c>
    </row>
    <row r="286" spans="1:1" x14ac:dyDescent="0.35">
      <c r="A286" s="8">
        <v>46308</v>
      </c>
    </row>
    <row r="287" spans="1:1" x14ac:dyDescent="0.35">
      <c r="A287" s="8">
        <v>46309</v>
      </c>
    </row>
    <row r="288" spans="1:1" x14ac:dyDescent="0.35">
      <c r="A288" s="8">
        <v>46310</v>
      </c>
    </row>
    <row r="289" spans="1:1" x14ac:dyDescent="0.35">
      <c r="A289" s="8">
        <v>46311</v>
      </c>
    </row>
    <row r="290" spans="1:1" x14ac:dyDescent="0.35">
      <c r="A290" s="8">
        <v>46312</v>
      </c>
    </row>
    <row r="291" spans="1:1" x14ac:dyDescent="0.35">
      <c r="A291" s="8">
        <v>46313</v>
      </c>
    </row>
    <row r="292" spans="1:1" x14ac:dyDescent="0.35">
      <c r="A292" s="8">
        <v>46314</v>
      </c>
    </row>
    <row r="293" spans="1:1" x14ac:dyDescent="0.35">
      <c r="A293" s="8">
        <v>46315</v>
      </c>
    </row>
    <row r="294" spans="1:1" x14ac:dyDescent="0.35">
      <c r="A294" s="8">
        <v>46316</v>
      </c>
    </row>
    <row r="295" spans="1:1" x14ac:dyDescent="0.35">
      <c r="A295" s="8">
        <v>46317</v>
      </c>
    </row>
    <row r="296" spans="1:1" x14ac:dyDescent="0.35">
      <c r="A296" s="8">
        <v>46318</v>
      </c>
    </row>
    <row r="297" spans="1:1" x14ac:dyDescent="0.35">
      <c r="A297" s="8">
        <v>46319</v>
      </c>
    </row>
    <row r="298" spans="1:1" x14ac:dyDescent="0.35">
      <c r="A298" s="8">
        <v>46320</v>
      </c>
    </row>
    <row r="299" spans="1:1" x14ac:dyDescent="0.35">
      <c r="A299" s="8">
        <v>46321</v>
      </c>
    </row>
    <row r="300" spans="1:1" x14ac:dyDescent="0.35">
      <c r="A300" s="8">
        <v>46322</v>
      </c>
    </row>
    <row r="301" spans="1:1" x14ac:dyDescent="0.35">
      <c r="A301" s="8">
        <v>46323</v>
      </c>
    </row>
    <row r="302" spans="1:1" x14ac:dyDescent="0.35">
      <c r="A302" s="8">
        <v>46324</v>
      </c>
    </row>
    <row r="303" spans="1:1" x14ac:dyDescent="0.35">
      <c r="A303" s="8">
        <v>46325</v>
      </c>
    </row>
    <row r="304" spans="1:1" x14ac:dyDescent="0.35">
      <c r="A304" s="8">
        <v>46326</v>
      </c>
    </row>
    <row r="305" spans="1:1" x14ac:dyDescent="0.35">
      <c r="A305" s="8">
        <v>46327</v>
      </c>
    </row>
    <row r="306" spans="1:1" x14ac:dyDescent="0.35">
      <c r="A306" s="8">
        <v>46328</v>
      </c>
    </row>
    <row r="307" spans="1:1" x14ac:dyDescent="0.35">
      <c r="A307" s="8">
        <v>46329</v>
      </c>
    </row>
    <row r="308" spans="1:1" x14ac:dyDescent="0.35">
      <c r="A308" s="8">
        <v>46330</v>
      </c>
    </row>
    <row r="309" spans="1:1" x14ac:dyDescent="0.35">
      <c r="A309" s="8">
        <v>46331</v>
      </c>
    </row>
    <row r="310" spans="1:1" x14ac:dyDescent="0.35">
      <c r="A310" s="8">
        <v>46332</v>
      </c>
    </row>
    <row r="311" spans="1:1" x14ac:dyDescent="0.35">
      <c r="A311" s="8">
        <v>46333</v>
      </c>
    </row>
    <row r="312" spans="1:1" x14ac:dyDescent="0.35">
      <c r="A312" s="8">
        <v>46334</v>
      </c>
    </row>
    <row r="313" spans="1:1" x14ac:dyDescent="0.35">
      <c r="A313" s="8">
        <v>46335</v>
      </c>
    </row>
    <row r="314" spans="1:1" x14ac:dyDescent="0.35">
      <c r="A314" s="8">
        <v>46336</v>
      </c>
    </row>
    <row r="315" spans="1:1" x14ac:dyDescent="0.35">
      <c r="A315" s="8">
        <v>46337</v>
      </c>
    </row>
    <row r="316" spans="1:1" x14ac:dyDescent="0.35">
      <c r="A316" s="8">
        <v>46338</v>
      </c>
    </row>
    <row r="317" spans="1:1" x14ac:dyDescent="0.35">
      <c r="A317" s="8">
        <v>46339</v>
      </c>
    </row>
    <row r="318" spans="1:1" x14ac:dyDescent="0.35">
      <c r="A318" s="8">
        <v>46340</v>
      </c>
    </row>
    <row r="319" spans="1:1" x14ac:dyDescent="0.35">
      <c r="A319" s="8">
        <v>46341</v>
      </c>
    </row>
    <row r="320" spans="1:1" x14ac:dyDescent="0.35">
      <c r="A320" s="8">
        <v>46342</v>
      </c>
    </row>
    <row r="321" spans="1:1" x14ac:dyDescent="0.35">
      <c r="A321" s="8">
        <v>46343</v>
      </c>
    </row>
    <row r="322" spans="1:1" x14ac:dyDescent="0.35">
      <c r="A322" s="8">
        <v>46344</v>
      </c>
    </row>
    <row r="323" spans="1:1" x14ac:dyDescent="0.35">
      <c r="A323" s="8">
        <v>46345</v>
      </c>
    </row>
    <row r="324" spans="1:1" x14ac:dyDescent="0.35">
      <c r="A324" s="8">
        <v>46346</v>
      </c>
    </row>
    <row r="325" spans="1:1" x14ac:dyDescent="0.35">
      <c r="A325" s="8">
        <v>46347</v>
      </c>
    </row>
    <row r="326" spans="1:1" x14ac:dyDescent="0.35">
      <c r="A326" s="8">
        <v>46348</v>
      </c>
    </row>
    <row r="327" spans="1:1" x14ac:dyDescent="0.35">
      <c r="A327" s="8">
        <v>46349</v>
      </c>
    </row>
    <row r="328" spans="1:1" x14ac:dyDescent="0.35">
      <c r="A328" s="8">
        <v>46350</v>
      </c>
    </row>
    <row r="329" spans="1:1" x14ac:dyDescent="0.35">
      <c r="A329" s="8">
        <v>46351</v>
      </c>
    </row>
    <row r="330" spans="1:1" x14ac:dyDescent="0.35">
      <c r="A330" s="8">
        <v>46352</v>
      </c>
    </row>
    <row r="331" spans="1:1" x14ac:dyDescent="0.35">
      <c r="A331" s="8">
        <v>46353</v>
      </c>
    </row>
    <row r="332" spans="1:1" x14ac:dyDescent="0.35">
      <c r="A332" s="8">
        <v>46354</v>
      </c>
    </row>
    <row r="333" spans="1:1" x14ac:dyDescent="0.35">
      <c r="A333" s="8">
        <v>46355</v>
      </c>
    </row>
    <row r="334" spans="1:1" x14ac:dyDescent="0.35">
      <c r="A334" s="8">
        <v>46356</v>
      </c>
    </row>
    <row r="335" spans="1:1" x14ac:dyDescent="0.35">
      <c r="A335" s="8">
        <v>46357</v>
      </c>
    </row>
    <row r="336" spans="1:1" x14ac:dyDescent="0.35">
      <c r="A336" s="8">
        <v>46358</v>
      </c>
    </row>
    <row r="337" spans="1:1" x14ac:dyDescent="0.35">
      <c r="A337" s="8">
        <v>46359</v>
      </c>
    </row>
    <row r="338" spans="1:1" x14ac:dyDescent="0.35">
      <c r="A338" s="8">
        <v>46360</v>
      </c>
    </row>
    <row r="339" spans="1:1" x14ac:dyDescent="0.35">
      <c r="A339" s="8">
        <v>46361</v>
      </c>
    </row>
    <row r="340" spans="1:1" x14ac:dyDescent="0.35">
      <c r="A340" s="8">
        <v>46362</v>
      </c>
    </row>
    <row r="341" spans="1:1" x14ac:dyDescent="0.35">
      <c r="A341" s="8">
        <v>46363</v>
      </c>
    </row>
    <row r="342" spans="1:1" x14ac:dyDescent="0.35">
      <c r="A342" s="8">
        <v>46364</v>
      </c>
    </row>
    <row r="343" spans="1:1" x14ac:dyDescent="0.35">
      <c r="A343" s="8">
        <v>46365</v>
      </c>
    </row>
    <row r="344" spans="1:1" x14ac:dyDescent="0.35">
      <c r="A344" s="8">
        <v>46366</v>
      </c>
    </row>
    <row r="345" spans="1:1" x14ac:dyDescent="0.35">
      <c r="A345" s="8">
        <v>46367</v>
      </c>
    </row>
    <row r="346" spans="1:1" x14ac:dyDescent="0.35">
      <c r="A346" s="8">
        <v>46368</v>
      </c>
    </row>
    <row r="347" spans="1:1" x14ac:dyDescent="0.35">
      <c r="A347" s="8">
        <v>46369</v>
      </c>
    </row>
    <row r="348" spans="1:1" x14ac:dyDescent="0.35">
      <c r="A348" s="8">
        <v>46370</v>
      </c>
    </row>
    <row r="349" spans="1:1" x14ac:dyDescent="0.35">
      <c r="A349" s="8">
        <v>46371</v>
      </c>
    </row>
    <row r="350" spans="1:1" x14ac:dyDescent="0.35">
      <c r="A350" s="8">
        <v>46372</v>
      </c>
    </row>
    <row r="351" spans="1:1" x14ac:dyDescent="0.35">
      <c r="A351" s="8">
        <v>46373</v>
      </c>
    </row>
    <row r="352" spans="1:1" x14ac:dyDescent="0.35">
      <c r="A352" s="8">
        <v>46374</v>
      </c>
    </row>
    <row r="353" spans="1:1" x14ac:dyDescent="0.35">
      <c r="A353" s="8">
        <v>46375</v>
      </c>
    </row>
    <row r="354" spans="1:1" x14ac:dyDescent="0.35">
      <c r="A354" s="8">
        <v>46376</v>
      </c>
    </row>
    <row r="355" spans="1:1" x14ac:dyDescent="0.35">
      <c r="A355" s="8">
        <v>46377</v>
      </c>
    </row>
    <row r="356" spans="1:1" x14ac:dyDescent="0.35">
      <c r="A356" s="8">
        <v>46378</v>
      </c>
    </row>
    <row r="357" spans="1:1" x14ac:dyDescent="0.35">
      <c r="A357" s="8">
        <v>46379</v>
      </c>
    </row>
    <row r="358" spans="1:1" x14ac:dyDescent="0.35">
      <c r="A358" s="8">
        <v>46380</v>
      </c>
    </row>
    <row r="359" spans="1:1" x14ac:dyDescent="0.35">
      <c r="A359" s="8">
        <v>46381</v>
      </c>
    </row>
    <row r="360" spans="1:1" x14ac:dyDescent="0.35">
      <c r="A360" s="8">
        <v>46382</v>
      </c>
    </row>
    <row r="361" spans="1:1" x14ac:dyDescent="0.35">
      <c r="A361" s="8">
        <v>46383</v>
      </c>
    </row>
    <row r="362" spans="1:1" x14ac:dyDescent="0.35">
      <c r="A362" s="8">
        <v>46384</v>
      </c>
    </row>
    <row r="363" spans="1:1" x14ac:dyDescent="0.35">
      <c r="A363" s="8">
        <v>46385</v>
      </c>
    </row>
    <row r="364" spans="1:1" x14ac:dyDescent="0.35">
      <c r="A364" s="8">
        <v>46386</v>
      </c>
    </row>
    <row r="365" spans="1:1" x14ac:dyDescent="0.35">
      <c r="A365" s="8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DB</vt:lpstr>
      <vt:lpstr>tablas dinamicas</vt:lpstr>
      <vt:lpstr>Issues</vt:lpstr>
      <vt:lpstr>clubs</vt:lpstr>
      <vt:lpstr>CPs</vt:lpstr>
      <vt:lpstr>Canal</vt:lpstr>
      <vt:lpstr>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KOSTIAL</dc:creator>
  <cp:lastModifiedBy>JONATHAN KOSTIAL</cp:lastModifiedBy>
  <dcterms:created xsi:type="dcterms:W3CDTF">2026-05-15T14:10:52Z</dcterms:created>
  <dcterms:modified xsi:type="dcterms:W3CDTF">2026-05-20T23:22:06Z</dcterms:modified>
</cp:coreProperties>
</file>